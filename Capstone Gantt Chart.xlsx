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lucif\Downloads\"/>
    </mc:Choice>
  </mc:AlternateContent>
  <bookViews>
    <workbookView xWindow="0" yWindow="0" windowWidth="28800" windowHeight="12330"/>
  </bookViews>
  <sheets>
    <sheet name="Project schedule" sheetId="11" r:id="rId1"/>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7" i="11" l="1"/>
  <c r="G66" i="11"/>
  <c r="G65" i="11"/>
  <c r="G64" i="11"/>
  <c r="G63" i="11"/>
  <c r="G62" i="11"/>
  <c r="G61" i="11"/>
  <c r="G60" i="11"/>
  <c r="G59" i="11"/>
  <c r="G58" i="11"/>
  <c r="G57" i="11"/>
  <c r="G56" i="11"/>
  <c r="G55" i="11"/>
  <c r="G54" i="11"/>
  <c r="G53" i="11"/>
  <c r="G52" i="11"/>
  <c r="G51" i="11"/>
  <c r="G50" i="11"/>
  <c r="G49" i="11"/>
  <c r="G48" i="11"/>
  <c r="G47" i="11"/>
  <c r="G46" i="11"/>
  <c r="G45" i="11"/>
  <c r="G44" i="11"/>
  <c r="G43" i="11"/>
  <c r="G42" i="11"/>
  <c r="G41" i="11"/>
  <c r="G40" i="11"/>
  <c r="G39" i="11"/>
  <c r="G36" i="11"/>
  <c r="G32" i="11"/>
  <c r="G7" i="11" l="1"/>
  <c r="D10" i="11" l="1"/>
  <c r="H5" i="11"/>
  <c r="G27" i="11"/>
  <c r="G21" i="11"/>
  <c r="G14" i="11"/>
  <c r="G8" i="11"/>
  <c r="G22" i="11" l="1"/>
  <c r="G23" i="11"/>
  <c r="G9" i="11"/>
  <c r="D11" i="11"/>
  <c r="D13" i="11"/>
  <c r="H6" i="11"/>
  <c r="G33" i="11" l="1"/>
  <c r="G31" i="11"/>
  <c r="G28" i="11"/>
  <c r="G10" i="11"/>
  <c r="G24" i="11"/>
  <c r="G15" i="11"/>
  <c r="G13" i="11"/>
  <c r="D12" i="11"/>
  <c r="I5" i="11"/>
  <c r="J5" i="11" s="1"/>
  <c r="K5" i="11" s="1"/>
  <c r="L5" i="11" s="1"/>
  <c r="M5" i="11" s="1"/>
  <c r="N5" i="11" s="1"/>
  <c r="O5" i="11" s="1"/>
  <c r="H4" i="11"/>
  <c r="G37" i="11" l="1"/>
  <c r="G38" i="11"/>
  <c r="G35" i="11"/>
  <c r="G34" i="11"/>
  <c r="G29" i="11"/>
  <c r="G30" i="11"/>
  <c r="G25" i="11"/>
  <c r="D18" i="11"/>
  <c r="D19" i="11" s="1"/>
  <c r="D20" i="11" s="1"/>
  <c r="G11" i="11"/>
  <c r="G12" i="11"/>
  <c r="O4" i="11"/>
  <c r="P5" i="11"/>
  <c r="Q5" i="11" s="1"/>
  <c r="R5" i="11" s="1"/>
  <c r="S5" i="11" s="1"/>
  <c r="T5" i="11" s="1"/>
  <c r="U5" i="11" s="1"/>
  <c r="V5" i="11" s="1"/>
  <c r="I6" i="11"/>
  <c r="G18" i="11" l="1"/>
  <c r="G17" i="11"/>
  <c r="G16" i="11"/>
  <c r="V4" i="11"/>
  <c r="W5" i="11"/>
  <c r="X5" i="11" s="1"/>
  <c r="Y5" i="11" s="1"/>
  <c r="Z5" i="11" s="1"/>
  <c r="AA5" i="11" s="1"/>
  <c r="AB5" i="11" s="1"/>
  <c r="J6" i="11"/>
  <c r="K6" i="11" l="1"/>
  <c r="L6" i="11" l="1"/>
  <c r="M6" i="11" l="1"/>
  <c r="N6" i="11" l="1"/>
  <c r="O6" i="11" l="1"/>
  <c r="P6" i="11"/>
  <c r="Q6" i="11" l="1"/>
  <c r="R6" i="11" l="1"/>
  <c r="S6" i="11" l="1"/>
  <c r="T6" i="11" l="1"/>
  <c r="U6" i="11" l="1"/>
  <c r="V6" i="11" l="1"/>
  <c r="W6" i="11" l="1"/>
  <c r="X6" i="11" l="1"/>
  <c r="Y6" i="11" l="1"/>
  <c r="Z6" i="11" l="1"/>
  <c r="AA6" i="11" l="1"/>
  <c r="AB6" i="11" l="1"/>
</calcChain>
</file>

<file path=xl/sharedStrings.xml><?xml version="1.0" encoding="utf-8"?>
<sst xmlns="http://schemas.openxmlformats.org/spreadsheetml/2006/main" count="74" uniqueCount="74">
  <si>
    <t>Project start:</t>
  </si>
  <si>
    <t>Display week:</t>
  </si>
  <si>
    <t>TASK</t>
  </si>
  <si>
    <t>PROGRESS</t>
  </si>
  <si>
    <t>START</t>
  </si>
  <si>
    <t>END</t>
  </si>
  <si>
    <t xml:space="preserve">Do not delete this row. This row is hidden to preserve a formula that is used to highlight the current day within the project schedule. </t>
  </si>
  <si>
    <t>Capstone Project</t>
  </si>
  <si>
    <t>Numika Shetty</t>
  </si>
  <si>
    <t>Chandan Chauhan</t>
  </si>
  <si>
    <t>Raja Kumar</t>
  </si>
  <si>
    <t>Vilakshan Kumar</t>
  </si>
  <si>
    <t>Project - 3</t>
  </si>
  <si>
    <t>Kick-Off &amp; Scope Lock</t>
  </si>
  <si>
    <t>Confirm objective</t>
  </si>
  <si>
    <t>Decide dataset approach (use mat only OR train on one and sanity-check on the other)</t>
  </si>
  <si>
    <t>Data Loading &amp; Validation</t>
  </si>
  <si>
    <t>Fix Metrics (MAE/RMSE/R²)</t>
  </si>
  <si>
    <t>Define Repo + Naming Conventions</t>
  </si>
  <si>
    <t>Confirm no missing values</t>
  </si>
  <si>
    <t>Verify target range (0–20)</t>
  </si>
  <si>
    <t>Identify categorical vs ordinal vs numeric</t>
  </si>
  <si>
    <t>Remove G1/G2 from feature set</t>
  </si>
  <si>
    <t>Version Clean Dataset</t>
  </si>
  <si>
    <t>G3 distribution</t>
  </si>
  <si>
    <t>Subgroup Patterns</t>
  </si>
  <si>
    <t>Confirm leakage impact by showing correlation of G1/G2 with G3 (EDA only)</t>
  </si>
  <si>
    <t>Define Intervention Hypotheses</t>
  </si>
  <si>
    <t>Decision-Oriented EDA</t>
  </si>
  <si>
    <t>Preprocessing &amp; Encoding Pipeline</t>
  </si>
  <si>
    <t>Treat Ordinal Scales Properly</t>
  </si>
  <si>
    <t>Ensure consistent columns across splits</t>
  </si>
  <si>
    <t>Save Feature List</t>
  </si>
  <si>
    <t>Split Strategy &amp; Reproducibility</t>
  </si>
  <si>
    <t>Stratify by grade bins to preserve distribution</t>
  </si>
  <si>
    <t>Fix Random Seed &amp; Save Indices</t>
  </si>
  <si>
    <t>Load CSV(s) &amp; Validate Schema</t>
  </si>
  <si>
    <t>Feature Engineering</t>
  </si>
  <si>
    <t>Update feature dictionary</t>
  </si>
  <si>
    <t>Create derived features</t>
  </si>
  <si>
    <t>Train Baseline XGBRegressor</t>
  </si>
  <si>
    <t>Train baseline XGBRegressor</t>
  </si>
  <si>
    <t>Establish baseline RMSE/MAE on validation</t>
  </si>
  <si>
    <t>Hyperparameter Tuning + Early Stopping</t>
  </si>
  <si>
    <t>RandomizedSearchCV or manual tuning + early stopping using validation RMSE</t>
  </si>
  <si>
    <t>Log Experiments</t>
  </si>
  <si>
    <t>Tune Depth, Learning Rate, Subsample, Colsample, Regularization Parameters</t>
  </si>
  <si>
    <t>Final Model Training</t>
  </si>
  <si>
    <t>Retrain with best params (train + val)</t>
  </si>
  <si>
    <t>Error Slicing &amp; Interpretation</t>
  </si>
  <si>
    <t>Save model artifact and preprocessing artifact</t>
  </si>
  <si>
    <t>Final Evaluation (Test Set)</t>
  </si>
  <si>
    <t>Residual Distribution &amp; Error by grade bands</t>
  </si>
  <si>
    <t>Evaluate MAE/RMSE/R²</t>
  </si>
  <si>
    <t>Plot Predicted vs Actual</t>
  </si>
  <si>
    <t>Slice errors by parameters</t>
  </si>
  <si>
    <t>Model Under/Over-prediction Identification &amp; Intervention Translation</t>
  </si>
  <si>
    <t>Clustering Dataset Build</t>
  </si>
  <si>
    <t>Build clustering matrix &amp; Scale features</t>
  </si>
  <si>
    <t>Decide feature subset for interpretability &amp; PCA for visualization</t>
  </si>
  <si>
    <t>Build Preprocessing Pipeline</t>
  </si>
  <si>
    <t>Enforce leakage rule</t>
  </si>
  <si>
    <t>Key Relationships</t>
  </si>
  <si>
    <t>Create train/val/test</t>
  </si>
  <si>
    <t>Clustering &amp; Cluster Cards</t>
  </si>
  <si>
    <t>K-means + hierarchical cross-check</t>
  </si>
  <si>
    <t>Build “cluster cards” &amp; Recommend Support Strategy</t>
  </si>
  <si>
    <t>Final Report, Slides &amp; Demo</t>
  </si>
  <si>
    <t>Finalize Report</t>
  </si>
  <si>
    <t>Finalize Report Summary</t>
  </si>
  <si>
    <t>Finalize PPT (slides)</t>
  </si>
  <si>
    <t>README file with "How To Run"</t>
  </si>
  <si>
    <t>Gantt Chart</t>
  </si>
  <si>
    <t>ABADS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</si>
</sst>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m/d/yy;@"/>
    <numFmt numFmtId="166" formatCode="ddd\,\ m/d/yyyy"/>
    <numFmt numFmtId="167" formatCode="mmm\ d\,\ yyyy"/>
    <numFmt numFmtId="168" formatCode="d"/>
  </numFmts>
  <fonts count="2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4" tint="0.59999389629810485"/>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8">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3" fillId="0" borderId="0" xfId="0" applyFont="1" applyAlignment="1">
      <alignment horizontal="center" vertical="center"/>
    </xf>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9" fillId="0" borderId="0" xfId="0" applyFont="1" applyAlignment="1">
      <alignment horizontal="center"/>
    </xf>
    <xf numFmtId="0" fontId="10" fillId="0" borderId="0" xfId="0" applyFont="1"/>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3" fillId="10" borderId="19" xfId="0" applyNumberFormat="1" applyFont="1" applyFill="1" applyBorder="1" applyAlignment="1">
      <alignment horizontal="center" vertical="center"/>
    </xf>
    <xf numFmtId="168" fontId="13" fillId="10" borderId="17" xfId="0" applyNumberFormat="1" applyFont="1" applyFill="1" applyBorder="1" applyAlignment="1">
      <alignment horizontal="center" vertical="center"/>
    </xf>
    <xf numFmtId="168" fontId="13" fillId="10" borderId="18" xfId="0" applyNumberFormat="1" applyFont="1" applyFill="1" applyBorder="1" applyAlignment="1">
      <alignment horizontal="center" vertical="center"/>
    </xf>
    <xf numFmtId="0" fontId="14" fillId="2" borderId="16" xfId="0" applyFont="1" applyFill="1" applyBorder="1" applyAlignment="1">
      <alignment horizontal="center" vertical="center" shrinkToFit="1"/>
    </xf>
    <xf numFmtId="0" fontId="14" fillId="2" borderId="14" xfId="0" applyFont="1" applyFill="1" applyBorder="1" applyAlignment="1">
      <alignment horizontal="center" vertical="center" shrinkToFit="1"/>
    </xf>
    <xf numFmtId="0" fontId="11" fillId="0" borderId="0" xfId="0" applyFont="1"/>
    <xf numFmtId="0" fontId="4" fillId="0" borderId="3" xfId="0" applyFont="1" applyBorder="1" applyAlignment="1">
      <alignment vertical="center"/>
    </xf>
    <xf numFmtId="0" fontId="15" fillId="6" borderId="0" xfId="0" applyFont="1" applyFill="1" applyAlignment="1">
      <alignment horizontal="left" vertical="center" indent="1"/>
    </xf>
    <xf numFmtId="9" fontId="1" fillId="6" borderId="0" xfId="2" applyFont="1" applyFill="1" applyBorder="1" applyAlignment="1">
      <alignment horizontal="center" vertical="center"/>
    </xf>
    <xf numFmtId="165" fontId="11"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9" fontId="1" fillId="3" borderId="6" xfId="2" applyFont="1" applyFill="1" applyBorder="1" applyAlignment="1">
      <alignment horizontal="center" vertical="center"/>
    </xf>
    <xf numFmtId="165" fontId="11" fillId="3" borderId="6" xfId="10" applyFont="1" applyFill="1" applyBorder="1">
      <alignment horizontal="center" vertical="center"/>
    </xf>
    <xf numFmtId="0" fontId="4" fillId="0" borderId="4" xfId="0" applyFont="1" applyBorder="1" applyAlignment="1">
      <alignment vertical="center"/>
    </xf>
    <xf numFmtId="0" fontId="11" fillId="3" borderId="7" xfId="12" applyFont="1" applyFill="1" applyBorder="1">
      <alignment horizontal="left" vertical="center" indent="2"/>
    </xf>
    <xf numFmtId="9" fontId="1" fillId="3" borderId="7" xfId="2" applyFont="1" applyFill="1" applyBorder="1" applyAlignment="1">
      <alignment horizontal="center" vertical="center"/>
    </xf>
    <xf numFmtId="165" fontId="11" fillId="3" borderId="7" xfId="10" applyFont="1" applyFill="1" applyBorder="1">
      <alignment horizontal="center" vertical="center"/>
    </xf>
    <xf numFmtId="0" fontId="4" fillId="0" borderId="4" xfId="0" applyFont="1" applyBorder="1" applyAlignment="1">
      <alignment horizontal="right" vertical="center"/>
    </xf>
    <xf numFmtId="0" fontId="15" fillId="7" borderId="0" xfId="0" applyFont="1" applyFill="1" applyAlignment="1">
      <alignment horizontal="left" vertical="center" indent="1"/>
    </xf>
    <xf numFmtId="9" fontId="1" fillId="7" borderId="0" xfId="2" applyFont="1" applyFill="1" applyBorder="1" applyAlignment="1">
      <alignment horizontal="center" vertical="center"/>
    </xf>
    <xf numFmtId="165" fontId="11"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9" fontId="1" fillId="4" borderId="5" xfId="2" applyFont="1" applyFill="1" applyBorder="1" applyAlignment="1">
      <alignment horizontal="center" vertical="center"/>
    </xf>
    <xf numFmtId="165" fontId="11" fillId="4" borderId="5" xfId="10" applyFont="1" applyFill="1" applyBorder="1">
      <alignment horizontal="center" vertical="center"/>
    </xf>
    <xf numFmtId="0" fontId="15" fillId="8" borderId="0" xfId="0" applyFont="1" applyFill="1" applyAlignment="1">
      <alignment horizontal="left" vertical="center" indent="1"/>
    </xf>
    <xf numFmtId="9" fontId="1" fillId="8" borderId="0" xfId="2" applyFont="1" applyFill="1" applyBorder="1" applyAlignment="1">
      <alignment horizontal="center" vertical="center"/>
    </xf>
    <xf numFmtId="165" fontId="11"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9" fontId="1" fillId="5" borderId="8" xfId="2" applyFont="1" applyFill="1" applyBorder="1" applyAlignment="1">
      <alignment horizontal="center" vertical="center"/>
    </xf>
    <xf numFmtId="165" fontId="11" fillId="5" borderId="8" xfId="10" applyFont="1" applyFill="1" applyBorder="1">
      <alignment horizontal="center" vertical="center"/>
    </xf>
    <xf numFmtId="0" fontId="4" fillId="0" borderId="10" xfId="0" applyFont="1" applyBorder="1" applyAlignment="1">
      <alignment vertical="center"/>
    </xf>
    <xf numFmtId="0" fontId="16" fillId="0" borderId="0" xfId="6" applyFont="1" applyAlignment="1">
      <alignment horizontal="left" vertical="center" indent="1"/>
    </xf>
    <xf numFmtId="0" fontId="19" fillId="0" borderId="0" xfId="5" applyFont="1" applyAlignment="1">
      <alignment horizontal="left"/>
    </xf>
    <xf numFmtId="0" fontId="4" fillId="0" borderId="0" xfId="0" applyFont="1"/>
    <xf numFmtId="0" fontId="7" fillId="0" borderId="0" xfId="3" applyAlignment="1">
      <alignment wrapText="1"/>
    </xf>
    <xf numFmtId="0" fontId="9" fillId="0" borderId="0" xfId="0" applyFont="1" applyAlignment="1">
      <alignment horizontal="left" vertical="center"/>
    </xf>
    <xf numFmtId="0" fontId="0" fillId="0" borderId="0" xfId="8" applyFont="1" applyAlignment="1">
      <alignment horizontal="left" vertical="center"/>
    </xf>
    <xf numFmtId="0" fontId="0" fillId="0" borderId="0" xfId="0" applyFont="1" applyAlignment="1">
      <alignment horizontal="left" vertical="center"/>
    </xf>
    <xf numFmtId="0" fontId="11" fillId="3" borderId="6" xfId="12" applyFont="1" applyFill="1" applyBorder="1" applyAlignment="1">
      <alignment horizontal="left" vertical="center" wrapText="1" indent="2"/>
    </xf>
    <xf numFmtId="0" fontId="11" fillId="3" borderId="7" xfId="12" applyFont="1" applyFill="1" applyBorder="1" applyAlignment="1">
      <alignment horizontal="left" vertical="center" wrapText="1" indent="2"/>
    </xf>
    <xf numFmtId="9" fontId="1" fillId="4" borderId="0" xfId="2" applyFont="1" applyFill="1" applyBorder="1" applyAlignment="1">
      <alignment horizontal="center" vertical="center"/>
    </xf>
    <xf numFmtId="0" fontId="11" fillId="4" borderId="5" xfId="12" applyFont="1" applyFill="1" applyBorder="1" applyAlignment="1">
      <alignment horizontal="left" vertical="center" wrapText="1" indent="2"/>
    </xf>
    <xf numFmtId="0" fontId="11" fillId="4" borderId="0" xfId="12" applyFont="1" applyFill="1" applyBorder="1" applyAlignment="1">
      <alignment horizontal="left" vertical="center" wrapText="1" indent="2"/>
    </xf>
    <xf numFmtId="0" fontId="11" fillId="5" borderId="8" xfId="12" applyFont="1" applyFill="1" applyBorder="1" applyAlignment="1">
      <alignment horizontal="left" vertical="center" wrapText="1" indent="2"/>
    </xf>
    <xf numFmtId="0" fontId="11" fillId="11" borderId="9" xfId="12" applyFont="1" applyFill="1" applyBorder="1">
      <alignment horizontal="left" vertical="center" indent="2"/>
    </xf>
    <xf numFmtId="9" fontId="1" fillId="11" borderId="9" xfId="2" applyFont="1" applyFill="1" applyBorder="1" applyAlignment="1">
      <alignment horizontal="center" vertical="center"/>
    </xf>
    <xf numFmtId="165" fontId="11" fillId="11" borderId="9" xfId="10" applyFont="1" applyFill="1" applyBorder="1">
      <alignment horizontal="center" vertical="center"/>
    </xf>
    <xf numFmtId="9" fontId="1" fillId="13" borderId="9" xfId="2" applyFont="1" applyFill="1" applyBorder="1" applyAlignment="1">
      <alignment horizontal="center" vertical="center"/>
    </xf>
    <xf numFmtId="165" fontId="11" fillId="13" borderId="9" xfId="10" applyFont="1" applyFill="1" applyBorder="1">
      <alignment horizontal="center" vertical="center"/>
    </xf>
    <xf numFmtId="9" fontId="1" fillId="5" borderId="9" xfId="2" applyFont="1" applyFill="1" applyBorder="1" applyAlignment="1">
      <alignment horizontal="center" vertical="center"/>
    </xf>
    <xf numFmtId="165" fontId="11" fillId="5" borderId="9" xfId="10" applyFont="1" applyFill="1" applyBorder="1">
      <alignment horizontal="center" vertical="center"/>
    </xf>
    <xf numFmtId="9" fontId="1" fillId="4" borderId="9" xfId="2" applyFont="1" applyFill="1" applyBorder="1" applyAlignment="1">
      <alignment horizontal="center" vertical="center"/>
    </xf>
    <xf numFmtId="165" fontId="11" fillId="4" borderId="9" xfId="10" applyFont="1" applyFill="1" applyBorder="1">
      <alignment horizontal="center" vertical="center"/>
    </xf>
    <xf numFmtId="9" fontId="1" fillId="3" borderId="9" xfId="2" applyFont="1" applyFill="1" applyBorder="1" applyAlignment="1">
      <alignment horizontal="center" vertical="center"/>
    </xf>
    <xf numFmtId="165" fontId="11" fillId="3" borderId="9" xfId="10" applyFont="1" applyFill="1" applyBorder="1">
      <alignment horizontal="center" vertical="center"/>
    </xf>
    <xf numFmtId="0" fontId="15" fillId="14" borderId="0" xfId="0" applyFont="1" applyFill="1" applyAlignment="1">
      <alignment horizontal="left" vertical="center" indent="1"/>
    </xf>
    <xf numFmtId="9" fontId="1" fillId="14" borderId="0" xfId="2" applyFont="1" applyFill="1" applyBorder="1" applyAlignment="1">
      <alignment horizontal="center" vertical="center"/>
    </xf>
    <xf numFmtId="165" fontId="11" fillId="14" borderId="0" xfId="0" applyNumberFormat="1" applyFont="1" applyFill="1" applyAlignment="1">
      <alignment horizontal="center" vertical="center"/>
    </xf>
    <xf numFmtId="165" fontId="1" fillId="14" borderId="0" xfId="0" applyNumberFormat="1" applyFont="1" applyFill="1" applyAlignment="1">
      <alignment horizontal="center" vertical="center"/>
    </xf>
    <xf numFmtId="0" fontId="11" fillId="11" borderId="9" xfId="12" applyFont="1" applyFill="1" applyBorder="1" applyAlignment="1">
      <alignment horizontal="left" vertical="center" wrapText="1" indent="2"/>
    </xf>
    <xf numFmtId="0" fontId="11" fillId="4" borderId="9" xfId="12" applyFont="1" applyFill="1" applyBorder="1" applyAlignment="1">
      <alignment horizontal="left" vertical="center" wrapText="1" indent="2"/>
    </xf>
    <xf numFmtId="0" fontId="11" fillId="5" borderId="9" xfId="12" applyFont="1" applyFill="1" applyBorder="1" applyAlignment="1">
      <alignment horizontal="left" vertical="center" wrapText="1" indent="2"/>
    </xf>
    <xf numFmtId="0" fontId="11" fillId="13" borderId="9" xfId="12" applyFont="1" applyFill="1" applyBorder="1" applyAlignment="1">
      <alignment horizontal="left" vertical="center" wrapText="1" indent="2"/>
    </xf>
    <xf numFmtId="0" fontId="15" fillId="16" borderId="0" xfId="0" applyFont="1" applyFill="1" applyAlignment="1">
      <alignment horizontal="left" vertical="center" indent="1"/>
    </xf>
    <xf numFmtId="0" fontId="15" fillId="18" borderId="0" xfId="0" applyFont="1" applyFill="1" applyAlignment="1">
      <alignment horizontal="left" vertical="center" indent="1"/>
    </xf>
    <xf numFmtId="0" fontId="15" fillId="19" borderId="0" xfId="0" applyFont="1" applyFill="1" applyAlignment="1">
      <alignment horizontal="left" vertical="center" indent="1"/>
    </xf>
    <xf numFmtId="9" fontId="1" fillId="19" borderId="0" xfId="2" applyFont="1" applyFill="1" applyBorder="1" applyAlignment="1">
      <alignment horizontal="center" vertical="center"/>
    </xf>
    <xf numFmtId="165" fontId="11" fillId="19" borderId="0" xfId="0" applyNumberFormat="1" applyFont="1" applyFill="1" applyAlignment="1">
      <alignment horizontal="center" vertical="center"/>
    </xf>
    <xf numFmtId="165" fontId="1" fillId="19" borderId="0" xfId="0" applyNumberFormat="1" applyFont="1" applyFill="1" applyAlignment="1">
      <alignment horizontal="center" vertical="center"/>
    </xf>
    <xf numFmtId="0" fontId="11" fillId="17" borderId="9" xfId="12" applyFont="1" applyFill="1" applyBorder="1">
      <alignment horizontal="left" vertical="center" indent="2"/>
    </xf>
    <xf numFmtId="9" fontId="1" fillId="17" borderId="9" xfId="2" applyFont="1" applyFill="1" applyBorder="1" applyAlignment="1">
      <alignment horizontal="center" vertical="center"/>
    </xf>
    <xf numFmtId="165" fontId="11" fillId="17" borderId="9" xfId="10" applyFont="1" applyFill="1" applyBorder="1">
      <alignment horizontal="center" vertical="center"/>
    </xf>
    <xf numFmtId="9" fontId="1" fillId="18" borderId="0" xfId="2" applyFont="1" applyFill="1" applyBorder="1" applyAlignment="1">
      <alignment horizontal="center" vertical="center"/>
    </xf>
    <xf numFmtId="165" fontId="11" fillId="18" borderId="0" xfId="0" applyNumberFormat="1" applyFont="1" applyFill="1" applyAlignment="1">
      <alignment horizontal="center" vertical="center"/>
    </xf>
    <xf numFmtId="165" fontId="1" fillId="18" borderId="0" xfId="0" applyNumberFormat="1" applyFont="1" applyFill="1" applyAlignment="1">
      <alignment horizontal="center" vertical="center"/>
    </xf>
    <xf numFmtId="0" fontId="11" fillId="17" borderId="9" xfId="12" applyFont="1" applyFill="1" applyBorder="1" applyAlignment="1">
      <alignment horizontal="left" vertical="center" wrapText="1" indent="2"/>
    </xf>
    <xf numFmtId="0" fontId="11" fillId="3" borderId="9" xfId="12" applyFont="1" applyFill="1" applyBorder="1" applyAlignment="1">
      <alignment horizontal="left" vertical="center" wrapText="1" indent="2"/>
    </xf>
    <xf numFmtId="9" fontId="1" fillId="16" borderId="0" xfId="2" applyFont="1" applyFill="1" applyBorder="1" applyAlignment="1">
      <alignment horizontal="center" vertical="center"/>
    </xf>
    <xf numFmtId="165" fontId="11" fillId="16" borderId="0" xfId="0" applyNumberFormat="1" applyFont="1" applyFill="1" applyAlignment="1">
      <alignment horizontal="center" vertical="center"/>
    </xf>
    <xf numFmtId="165" fontId="1" fillId="16" borderId="0" xfId="0" applyNumberFormat="1" applyFont="1" applyFill="1" applyAlignment="1">
      <alignment horizontal="center" vertical="center"/>
    </xf>
    <xf numFmtId="0" fontId="15" fillId="12" borderId="0" xfId="0" applyFont="1" applyFill="1" applyAlignment="1">
      <alignment horizontal="left" vertical="center" indent="1"/>
    </xf>
    <xf numFmtId="9" fontId="1" fillId="12" borderId="0" xfId="2" applyFont="1" applyFill="1" applyBorder="1" applyAlignment="1">
      <alignment horizontal="center" vertical="center"/>
    </xf>
    <xf numFmtId="165" fontId="11" fillId="12" borderId="0" xfId="0" applyNumberFormat="1" applyFont="1" applyFill="1" applyAlignment="1">
      <alignment horizontal="center" vertical="center"/>
    </xf>
    <xf numFmtId="165" fontId="1" fillId="12" borderId="0" xfId="0" applyNumberFormat="1" applyFont="1" applyFill="1" applyAlignment="1">
      <alignment horizontal="center" vertical="center"/>
    </xf>
    <xf numFmtId="0" fontId="15" fillId="15" borderId="0" xfId="0" applyFont="1" applyFill="1" applyAlignment="1">
      <alignment horizontal="left" vertical="center" indent="1"/>
    </xf>
    <xf numFmtId="9" fontId="1" fillId="15" borderId="0" xfId="2" applyFont="1" applyFill="1" applyBorder="1" applyAlignment="1">
      <alignment horizontal="center" vertical="center"/>
    </xf>
    <xf numFmtId="165" fontId="11" fillId="15" borderId="0" xfId="0" applyNumberFormat="1" applyFont="1" applyFill="1" applyAlignment="1">
      <alignment horizontal="center" vertical="center"/>
    </xf>
    <xf numFmtId="165" fontId="1" fillId="15" borderId="0" xfId="0" applyNumberFormat="1" applyFont="1" applyFill="1" applyAlignment="1">
      <alignment horizontal="center" vertical="center"/>
    </xf>
    <xf numFmtId="0" fontId="17" fillId="0" borderId="0" xfId="0" applyFont="1" applyAlignment="1">
      <alignment horizontal="left"/>
    </xf>
    <xf numFmtId="0" fontId="18" fillId="0" borderId="0" xfId="0" applyFont="1" applyAlignment="1"/>
    <xf numFmtId="166" fontId="17" fillId="0" borderId="0" xfId="9" applyFont="1" applyBorder="1" applyAlignment="1">
      <alignment horizontal="left"/>
    </xf>
    <xf numFmtId="0" fontId="16" fillId="0" borderId="0" xfId="8" applyFont="1" applyAlignment="1">
      <alignment horizontal="left"/>
    </xf>
    <xf numFmtId="0" fontId="4" fillId="0" borderId="0" xfId="0" applyFont="1" applyAlignment="1"/>
    <xf numFmtId="167" fontId="11" fillId="2" borderId="17" xfId="0" applyNumberFormat="1" applyFont="1" applyFill="1" applyBorder="1" applyAlignment="1">
      <alignment horizontal="center" vertical="center" wrapText="1"/>
    </xf>
    <xf numFmtId="167" fontId="11" fillId="2" borderId="13" xfId="0" applyNumberFormat="1" applyFont="1" applyFill="1" applyBorder="1" applyAlignment="1">
      <alignment horizontal="center" vertical="center" wrapText="1"/>
    </xf>
    <xf numFmtId="0" fontId="7" fillId="0" borderId="0" xfId="3" applyAlignment="1">
      <alignment wrapText="1"/>
    </xf>
    <xf numFmtId="0" fontId="12" fillId="9" borderId="15" xfId="0" applyFont="1" applyFill="1" applyBorder="1" applyAlignment="1">
      <alignment horizontal="left" vertical="center" indent="1"/>
    </xf>
    <xf numFmtId="0" fontId="4" fillId="2" borderId="20" xfId="0" applyFont="1" applyFill="1" applyBorder="1" applyAlignment="1">
      <alignment horizontal="left" indent="1"/>
    </xf>
    <xf numFmtId="0" fontId="12" fillId="9" borderId="15" xfId="0" applyFont="1" applyFill="1" applyBorder="1" applyAlignment="1">
      <alignment horizontal="center" vertical="center"/>
    </xf>
    <xf numFmtId="0" fontId="4" fillId="2" borderId="20" xfId="0" applyFont="1" applyFill="1" applyBorder="1" applyAlignment="1"/>
  </cellXfs>
  <cellStyles count="13">
    <cellStyle name="Comma" xfId="4" builtinId="3" customBuiltin="1"/>
    <cellStyle name="Date" xfId="10"/>
    <cellStyle name="Heading 1" xfId="6" builtinId="16" customBuiltin="1"/>
    <cellStyle name="Heading 2" xfId="7" builtinId="17" customBuiltin="1"/>
    <cellStyle name="Heading 3" xfId="8" builtinId="18" customBuiltin="1"/>
    <cellStyle name="Hyperlink" xfId="1" builtinId="8" customBuiltin="1"/>
    <cellStyle name="Name" xfId="11"/>
    <cellStyle name="Normal" xfId="0" builtinId="0"/>
    <cellStyle name="Percent" xfId="2" builtinId="5"/>
    <cellStyle name="Project Start" xfId="9"/>
    <cellStyle name="Task" xfId="12"/>
    <cellStyle name="Title" xfId="5" builtinId="15" customBuiltin="1"/>
    <cellStyle name="zHiddenText" xfId="3"/>
  </cellStyles>
  <dxfs count="101">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border>
    </dxf>
    <dxf>
      <fill>
        <patternFill>
          <bgColor theme="4" tint="0.79998168889431442"/>
        </patternFill>
      </fill>
      <border>
        <left/>
        <right/>
      </border>
    </dxf>
    <dxf>
      <border>
        <left style="thin">
          <color theme="5"/>
        </left>
        <right style="thin">
          <color theme="5"/>
        </right>
        <vertical/>
        <horizontal/>
      </border>
    </dxf>
    <dxf>
      <fill>
        <patternFill>
          <bgColor theme="4" tint="0.39994506668294322"/>
        </patternFill>
      </fill>
      <border>
        <left/>
        <right/>
      </border>
    </dxf>
    <dxf>
      <fill>
        <patternFill>
          <bgColor theme="4" tint="0.79998168889431442"/>
        </patternFill>
      </fill>
      <border>
        <left/>
        <right/>
      </border>
    </dxf>
    <dxf>
      <border>
        <left style="thin">
          <color theme="5"/>
        </left>
        <right style="thin">
          <color theme="5"/>
        </right>
        <vertical/>
        <horizontal/>
      </border>
    </dxf>
    <dxf>
      <fill>
        <patternFill>
          <bgColor theme="3" tint="0.24994659260841701"/>
        </patternFill>
      </fill>
      <border>
        <left/>
        <right/>
      </border>
    </dxf>
    <dxf>
      <fill>
        <patternFill>
          <bgColor theme="3" tint="0.749961851863155"/>
        </patternFill>
      </fill>
      <border>
        <left/>
        <right/>
      </border>
    </dxf>
    <dxf>
      <border>
        <left style="thin">
          <color theme="5"/>
        </left>
        <right style="thin">
          <color theme="5"/>
        </right>
        <vertical/>
        <horizontal/>
      </border>
    </dxf>
    <dxf>
      <fill>
        <patternFill>
          <bgColor theme="3" tint="0.24994659260841701"/>
        </patternFill>
      </fill>
      <border>
        <left/>
        <right/>
      </border>
    </dxf>
    <dxf>
      <fill>
        <patternFill>
          <bgColor theme="3" tint="0.749961851863155"/>
        </patternFill>
      </fill>
      <border>
        <left/>
        <right/>
      </border>
    </dxf>
    <dxf>
      <border>
        <left style="thin">
          <color theme="5"/>
        </left>
        <right style="thin">
          <color theme="5"/>
        </right>
        <vertical/>
        <horizontal/>
      </border>
    </dxf>
    <dxf>
      <fill>
        <patternFill>
          <bgColor theme="7"/>
        </patternFill>
      </fill>
      <border>
        <left/>
        <right/>
      </border>
    </dxf>
    <dxf>
      <fill>
        <patternFill>
          <bgColor theme="7" tint="0.59996337778862885"/>
        </patternFill>
      </fill>
      <border>
        <left/>
        <right/>
      </border>
    </dxf>
    <dxf>
      <border>
        <left style="thin">
          <color theme="5"/>
        </left>
        <right style="thin">
          <color theme="5"/>
        </right>
        <vertical/>
        <horizontal/>
      </border>
    </dxf>
    <dxf>
      <fill>
        <patternFill>
          <bgColor theme="7"/>
        </patternFill>
      </fill>
      <border>
        <left/>
        <right/>
      </border>
    </dxf>
    <dxf>
      <fill>
        <patternFill>
          <bgColor theme="7" tint="0.59996337778862885"/>
        </patternFill>
      </fill>
      <border>
        <left/>
        <right/>
      </border>
    </dxf>
    <dxf>
      <border>
        <left style="thin">
          <color theme="5"/>
        </left>
        <right style="thin">
          <color theme="5"/>
        </right>
        <vertical/>
        <horizontal/>
      </border>
    </dxf>
    <dxf>
      <fill>
        <patternFill>
          <bgColor theme="2" tint="-0.24994659260841701"/>
        </patternFill>
      </fill>
      <border>
        <left/>
        <right/>
      </border>
    </dxf>
    <dxf>
      <fill>
        <patternFill>
          <bgColor theme="2"/>
        </patternFill>
      </fill>
      <border>
        <left/>
        <right/>
      </border>
    </dxf>
    <dxf>
      <border>
        <left style="thin">
          <color theme="5"/>
        </left>
        <right style="thin">
          <color theme="5"/>
        </right>
        <vertical/>
        <horizontal/>
      </border>
    </dxf>
    <dxf>
      <fill>
        <patternFill>
          <bgColor theme="2" tint="-0.24994659260841701"/>
        </patternFill>
      </fill>
      <border>
        <left/>
        <right/>
      </border>
    </dxf>
    <dxf>
      <fill>
        <patternFill>
          <bgColor theme="2"/>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border>
    </dxf>
    <dxf>
      <fill>
        <patternFill>
          <bgColor theme="4" tint="0.79998168889431442"/>
        </patternFill>
      </fill>
      <border>
        <left/>
        <right/>
      </border>
    </dxf>
    <dxf>
      <border>
        <left style="thin">
          <color theme="5"/>
        </left>
        <right style="thin">
          <color theme="5"/>
        </right>
        <vertical/>
        <horizontal/>
      </border>
    </dxf>
    <dxf>
      <fill>
        <patternFill>
          <bgColor theme="4" tint="0.39994506668294322"/>
        </patternFill>
      </fill>
      <border>
        <left/>
        <right/>
      </border>
    </dxf>
    <dxf>
      <fill>
        <patternFill>
          <bgColor theme="4" tint="0.79998168889431442"/>
        </patternFill>
      </fill>
      <border>
        <left/>
        <right/>
      </border>
    </dxf>
    <dxf>
      <border>
        <left style="thin">
          <color theme="5"/>
        </left>
        <right style="thin">
          <color theme="5"/>
        </right>
        <vertical/>
        <horizontal/>
      </border>
    </dxf>
    <dxf>
      <fill>
        <patternFill>
          <bgColor theme="3" tint="0.24994659260841701"/>
        </patternFill>
      </fill>
      <border>
        <left/>
        <right/>
      </border>
    </dxf>
    <dxf>
      <fill>
        <patternFill>
          <bgColor theme="3" tint="0.749961851863155"/>
        </patternFill>
      </fill>
      <border>
        <left/>
        <right/>
      </border>
    </dxf>
    <dxf>
      <border>
        <left style="thin">
          <color theme="5"/>
        </left>
        <right style="thin">
          <color theme="5"/>
        </right>
        <vertical/>
        <horizontal/>
      </border>
    </dxf>
    <dxf>
      <fill>
        <patternFill>
          <bgColor theme="3" tint="0.24994659260841701"/>
        </patternFill>
      </fill>
      <border>
        <left/>
        <right/>
      </border>
    </dxf>
    <dxf>
      <fill>
        <patternFill>
          <bgColor theme="3" tint="0.749961851863155"/>
        </patternFill>
      </fill>
      <border>
        <left/>
        <right/>
      </border>
    </dxf>
    <dxf>
      <border>
        <left style="thin">
          <color theme="5"/>
        </left>
        <right style="thin">
          <color theme="5"/>
        </right>
        <vertical/>
        <horizontal/>
      </border>
    </dxf>
    <dxf>
      <fill>
        <patternFill>
          <bgColor theme="7"/>
        </patternFill>
      </fill>
      <border>
        <left/>
        <right/>
      </border>
    </dxf>
    <dxf>
      <fill>
        <patternFill>
          <bgColor theme="7" tint="0.59996337778862885"/>
        </patternFill>
      </fill>
      <border>
        <left/>
        <right/>
      </border>
    </dxf>
    <dxf>
      <border>
        <left style="thin">
          <color theme="5"/>
        </left>
        <right style="thin">
          <color theme="5"/>
        </right>
        <vertical/>
        <horizontal/>
      </border>
    </dxf>
    <dxf>
      <fill>
        <patternFill>
          <bgColor theme="7"/>
        </patternFill>
      </fill>
      <border>
        <left/>
        <right/>
      </border>
    </dxf>
    <dxf>
      <fill>
        <patternFill>
          <bgColor theme="7" tint="0.59996337778862885"/>
        </patternFill>
      </fill>
      <border>
        <left/>
        <right/>
      </border>
    </dxf>
    <dxf>
      <border>
        <left style="thin">
          <color theme="5"/>
        </left>
        <right style="thin">
          <color theme="5"/>
        </right>
        <vertical/>
        <horizontal/>
      </border>
    </dxf>
    <dxf>
      <fill>
        <patternFill>
          <bgColor theme="2" tint="-0.24994659260841701"/>
        </patternFill>
      </fill>
      <border>
        <left/>
        <right/>
      </border>
    </dxf>
    <dxf>
      <fill>
        <patternFill>
          <bgColor theme="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2" tint="-0.24994659260841701"/>
        </patternFill>
      </fill>
      <border>
        <left/>
        <right/>
      </border>
    </dxf>
    <dxf>
      <fill>
        <patternFill>
          <bgColor theme="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00"/>
      <tableStyleElement type="headerRow" dxfId="99"/>
      <tableStyleElement type="totalRow" dxfId="98"/>
      <tableStyleElement type="firstColumn" dxfId="97"/>
      <tableStyleElement type="lastColumn" dxfId="96"/>
      <tableStyleElement type="firstRowStripe" dxfId="95"/>
      <tableStyleElement type="secondRowStripe" dxfId="94"/>
      <tableStyleElement type="firstColumnStripe" dxfId="93"/>
      <tableStyleElement type="secondColumnStripe" dxfId="9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B67"/>
  <sheetViews>
    <sheetView showGridLines="0" tabSelected="1" showRuler="0" topLeftCell="A20" zoomScaleNormal="100" zoomScalePageLayoutView="70" workbookViewId="0">
      <selection activeCell="V31" sqref="V31"/>
    </sheetView>
  </sheetViews>
  <sheetFormatPr defaultColWidth="8.75" defaultRowHeight="30" customHeight="1" x14ac:dyDescent="0.2"/>
  <cols>
    <col min="1" max="1" width="2.75" style="4" customWidth="1"/>
    <col min="2" max="2" width="30" customWidth="1"/>
    <col min="3" max="3" width="10.75" customWidth="1"/>
    <col min="4" max="4" width="10.75" style="2" customWidth="1"/>
    <col min="5" max="5" width="10.75" customWidth="1"/>
    <col min="6" max="6" width="11.5" customWidth="1"/>
    <col min="7" max="7" width="6" hidden="1" customWidth="1"/>
    <col min="8" max="29" width="2.75" customWidth="1"/>
  </cols>
  <sheetData>
    <row r="1" spans="1:28" ht="90" customHeight="1" x14ac:dyDescent="1.1000000000000001">
      <c r="A1" s="52"/>
      <c r="B1" s="50" t="s">
        <v>7</v>
      </c>
      <c r="C1" s="6"/>
      <c r="D1" s="7"/>
      <c r="E1" s="8"/>
      <c r="G1" s="1"/>
      <c r="H1" s="109" t="s">
        <v>0</v>
      </c>
      <c r="I1" s="110"/>
      <c r="J1" s="110"/>
      <c r="K1" s="110"/>
      <c r="L1" s="110"/>
      <c r="M1" s="110"/>
      <c r="N1" s="110"/>
      <c r="O1" s="10"/>
      <c r="P1" s="108">
        <v>46089</v>
      </c>
      <c r="Q1" s="107"/>
      <c r="R1" s="107"/>
      <c r="S1" s="107"/>
      <c r="T1" s="107"/>
      <c r="U1" s="107"/>
      <c r="V1" s="107"/>
      <c r="W1" s="107"/>
      <c r="X1" s="107"/>
      <c r="Y1" s="107"/>
    </row>
    <row r="2" spans="1:28" ht="30" customHeight="1" x14ac:dyDescent="0.5">
      <c r="B2" s="49" t="s">
        <v>12</v>
      </c>
      <c r="C2" s="53" t="s">
        <v>8</v>
      </c>
      <c r="D2" s="9"/>
      <c r="E2" s="53" t="s">
        <v>10</v>
      </c>
      <c r="H2" s="109" t="s">
        <v>1</v>
      </c>
      <c r="I2" s="110"/>
      <c r="J2" s="110"/>
      <c r="K2" s="110"/>
      <c r="L2" s="110"/>
      <c r="M2" s="110"/>
      <c r="N2" s="110"/>
      <c r="O2" s="10"/>
      <c r="P2" s="106">
        <v>1</v>
      </c>
      <c r="Q2" s="107"/>
      <c r="R2" s="107"/>
      <c r="S2" s="107"/>
      <c r="T2" s="107"/>
      <c r="U2" s="107"/>
      <c r="V2" s="107"/>
      <c r="W2" s="107"/>
      <c r="X2" s="107"/>
      <c r="Y2" s="107"/>
    </row>
    <row r="3" spans="1:28" s="11" customFormat="1" ht="30" customHeight="1" x14ac:dyDescent="0.2">
      <c r="A3" s="4"/>
      <c r="B3" s="49" t="s">
        <v>73</v>
      </c>
      <c r="C3" s="54" t="s">
        <v>9</v>
      </c>
      <c r="D3" s="12"/>
      <c r="E3" s="55" t="s">
        <v>11</v>
      </c>
      <c r="F3" s="51"/>
      <c r="G3" s="51"/>
      <c r="H3" s="51"/>
      <c r="I3" s="51"/>
      <c r="J3" s="51"/>
      <c r="K3" s="51"/>
      <c r="L3" s="51"/>
      <c r="M3" s="51"/>
      <c r="N3" s="51"/>
      <c r="O3" s="51"/>
      <c r="P3" s="51"/>
      <c r="Q3" s="51"/>
      <c r="R3" s="51"/>
      <c r="S3" s="51"/>
      <c r="T3" s="51"/>
      <c r="U3" s="51"/>
      <c r="V3" s="51"/>
      <c r="W3" s="51"/>
      <c r="X3" s="51"/>
      <c r="Y3" s="51"/>
      <c r="Z3" s="51"/>
      <c r="AA3" s="51"/>
      <c r="AB3" s="51"/>
    </row>
    <row r="4" spans="1:28" s="11" customFormat="1" ht="30" customHeight="1" x14ac:dyDescent="0.2">
      <c r="A4" s="52"/>
      <c r="B4" s="13"/>
      <c r="C4" s="51"/>
      <c r="D4" s="14"/>
      <c r="E4" s="51"/>
      <c r="F4" s="51"/>
      <c r="G4" s="51"/>
      <c r="H4" s="111">
        <f>H5</f>
        <v>46090</v>
      </c>
      <c r="I4" s="112"/>
      <c r="J4" s="112"/>
      <c r="K4" s="112"/>
      <c r="L4" s="112"/>
      <c r="M4" s="112"/>
      <c r="N4" s="112"/>
      <c r="O4" s="112">
        <f>O5</f>
        <v>46097</v>
      </c>
      <c r="P4" s="112"/>
      <c r="Q4" s="112"/>
      <c r="R4" s="112"/>
      <c r="S4" s="112"/>
      <c r="T4" s="112"/>
      <c r="U4" s="112"/>
      <c r="V4" s="112">
        <f>V5</f>
        <v>46104</v>
      </c>
      <c r="W4" s="112"/>
      <c r="X4" s="112"/>
      <c r="Y4" s="112"/>
      <c r="Z4" s="112"/>
      <c r="AA4" s="112"/>
      <c r="AB4" s="112"/>
    </row>
    <row r="5" spans="1:28" s="11" customFormat="1" ht="15" customHeight="1" x14ac:dyDescent="0.2">
      <c r="A5" s="113"/>
      <c r="B5" s="114" t="s">
        <v>2</v>
      </c>
      <c r="C5" s="116" t="s">
        <v>3</v>
      </c>
      <c r="D5" s="116" t="s">
        <v>4</v>
      </c>
      <c r="E5" s="116" t="s">
        <v>5</v>
      </c>
      <c r="F5" s="51"/>
      <c r="G5" s="51"/>
      <c r="H5" s="15">
        <f>Project_Start-WEEKDAY(Project_Start,1)+2+7*(Display_Week-1)</f>
        <v>46090</v>
      </c>
      <c r="I5" s="15">
        <f>H5+1</f>
        <v>46091</v>
      </c>
      <c r="J5" s="15">
        <f t="shared" ref="J5:AB5" si="0">I5+1</f>
        <v>46092</v>
      </c>
      <c r="K5" s="15">
        <f t="shared" si="0"/>
        <v>46093</v>
      </c>
      <c r="L5" s="15">
        <f t="shared" si="0"/>
        <v>46094</v>
      </c>
      <c r="M5" s="15">
        <f t="shared" si="0"/>
        <v>46095</v>
      </c>
      <c r="N5" s="16">
        <f t="shared" si="0"/>
        <v>46096</v>
      </c>
      <c r="O5" s="17">
        <f>N5+1</f>
        <v>46097</v>
      </c>
      <c r="P5" s="15">
        <f>O5+1</f>
        <v>46098</v>
      </c>
      <c r="Q5" s="15">
        <f t="shared" si="0"/>
        <v>46099</v>
      </c>
      <c r="R5" s="15">
        <f t="shared" si="0"/>
        <v>46100</v>
      </c>
      <c r="S5" s="15">
        <f t="shared" si="0"/>
        <v>46101</v>
      </c>
      <c r="T5" s="15">
        <f t="shared" si="0"/>
        <v>46102</v>
      </c>
      <c r="U5" s="16">
        <f t="shared" si="0"/>
        <v>46103</v>
      </c>
      <c r="V5" s="17">
        <f>U5+1</f>
        <v>46104</v>
      </c>
      <c r="W5" s="15">
        <f>V5+1</f>
        <v>46105</v>
      </c>
      <c r="X5" s="15">
        <f t="shared" si="0"/>
        <v>46106</v>
      </c>
      <c r="Y5" s="15">
        <f t="shared" si="0"/>
        <v>46107</v>
      </c>
      <c r="Z5" s="15">
        <f t="shared" si="0"/>
        <v>46108</v>
      </c>
      <c r="AA5" s="15">
        <f t="shared" si="0"/>
        <v>46109</v>
      </c>
      <c r="AB5" s="16">
        <f t="shared" si="0"/>
        <v>46110</v>
      </c>
    </row>
    <row r="6" spans="1:28" s="11" customFormat="1" ht="15" customHeight="1" thickBot="1" x14ac:dyDescent="0.25">
      <c r="A6" s="113"/>
      <c r="B6" s="115"/>
      <c r="C6" s="117"/>
      <c r="D6" s="117"/>
      <c r="E6" s="117"/>
      <c r="F6" s="51"/>
      <c r="G6" s="51"/>
      <c r="H6" s="18" t="str">
        <f t="shared" ref="H6:AB6" si="1">LEFT(TEXT(H5,"ddd"),1)</f>
        <v>M</v>
      </c>
      <c r="I6" s="19" t="str">
        <f t="shared" si="1"/>
        <v>T</v>
      </c>
      <c r="J6" s="19" t="str">
        <f t="shared" si="1"/>
        <v>W</v>
      </c>
      <c r="K6" s="19" t="str">
        <f t="shared" si="1"/>
        <v>T</v>
      </c>
      <c r="L6" s="19" t="str">
        <f t="shared" si="1"/>
        <v>F</v>
      </c>
      <c r="M6" s="19" t="str">
        <f t="shared" si="1"/>
        <v>S</v>
      </c>
      <c r="N6" s="19" t="str">
        <f t="shared" si="1"/>
        <v>S</v>
      </c>
      <c r="O6" s="19" t="str">
        <f t="shared" si="1"/>
        <v>M</v>
      </c>
      <c r="P6" s="19" t="str">
        <f t="shared" si="1"/>
        <v>T</v>
      </c>
      <c r="Q6" s="19" t="str">
        <f t="shared" si="1"/>
        <v>W</v>
      </c>
      <c r="R6" s="19" t="str">
        <f t="shared" si="1"/>
        <v>T</v>
      </c>
      <c r="S6" s="19" t="str">
        <f t="shared" si="1"/>
        <v>F</v>
      </c>
      <c r="T6" s="19" t="str">
        <f t="shared" si="1"/>
        <v>S</v>
      </c>
      <c r="U6" s="19" t="str">
        <f t="shared" si="1"/>
        <v>S</v>
      </c>
      <c r="V6" s="19" t="str">
        <f t="shared" si="1"/>
        <v>M</v>
      </c>
      <c r="W6" s="19" t="str">
        <f t="shared" si="1"/>
        <v>T</v>
      </c>
      <c r="X6" s="19" t="str">
        <f t="shared" si="1"/>
        <v>W</v>
      </c>
      <c r="Y6" s="19" t="str">
        <f t="shared" si="1"/>
        <v>T</v>
      </c>
      <c r="Z6" s="19" t="str">
        <f t="shared" si="1"/>
        <v>F</v>
      </c>
      <c r="AA6" s="19" t="str">
        <f t="shared" si="1"/>
        <v>S</v>
      </c>
      <c r="AB6" s="19" t="str">
        <f t="shared" si="1"/>
        <v>S</v>
      </c>
    </row>
    <row r="7" spans="1:28" s="11" customFormat="1" ht="30" hidden="1" customHeight="1" thickBot="1" x14ac:dyDescent="0.25">
      <c r="A7" s="4" t="s">
        <v>6</v>
      </c>
      <c r="B7" s="20"/>
      <c r="C7" s="20"/>
      <c r="D7" s="20"/>
      <c r="E7" s="20"/>
      <c r="F7" s="51"/>
      <c r="G7" s="51" t="str">
        <f>IF(OR(ISBLANK(task_start),ISBLANK(task_end)),"",task_end-task_start+1)</f>
        <v/>
      </c>
      <c r="H7" s="21"/>
      <c r="I7" s="21"/>
      <c r="J7" s="21"/>
      <c r="K7" s="21"/>
      <c r="L7" s="21"/>
      <c r="M7" s="21"/>
      <c r="N7" s="21"/>
      <c r="O7" s="21"/>
      <c r="P7" s="21"/>
      <c r="Q7" s="21"/>
      <c r="R7" s="21"/>
      <c r="S7" s="21"/>
      <c r="T7" s="21"/>
      <c r="U7" s="21"/>
      <c r="V7" s="21"/>
      <c r="W7" s="21"/>
      <c r="X7" s="21"/>
      <c r="Y7" s="21"/>
      <c r="Z7" s="21"/>
      <c r="AA7" s="21"/>
      <c r="AB7" s="21"/>
    </row>
    <row r="8" spans="1:28" s="27" customFormat="1" ht="30" customHeight="1" thickBot="1" x14ac:dyDescent="0.25">
      <c r="A8" s="52"/>
      <c r="B8" s="22" t="s">
        <v>13</v>
      </c>
      <c r="C8" s="23"/>
      <c r="D8" s="24"/>
      <c r="E8" s="25"/>
      <c r="F8" s="5"/>
      <c r="G8" s="3" t="str">
        <f t="shared" ref="G8:G67" si="2">IF(OR(ISBLANK(task_start),ISBLANK(task_end)),"",task_end-task_start+1)</f>
        <v/>
      </c>
      <c r="H8" s="26"/>
      <c r="I8" s="26"/>
      <c r="J8" s="26"/>
      <c r="K8" s="26"/>
      <c r="L8" s="26"/>
      <c r="M8" s="26"/>
      <c r="N8" s="26"/>
      <c r="O8" s="26"/>
      <c r="P8" s="26"/>
      <c r="Q8" s="26"/>
      <c r="R8" s="26"/>
      <c r="S8" s="26"/>
      <c r="T8" s="26"/>
      <c r="U8" s="26"/>
      <c r="V8" s="26"/>
      <c r="W8" s="26"/>
      <c r="X8" s="26"/>
      <c r="Y8" s="26"/>
      <c r="Z8" s="26"/>
      <c r="AA8" s="26"/>
      <c r="AB8" s="26"/>
    </row>
    <row r="9" spans="1:28" s="27" customFormat="1" ht="30" customHeight="1" thickBot="1" x14ac:dyDescent="0.25">
      <c r="A9" s="52"/>
      <c r="B9" s="56" t="s">
        <v>14</v>
      </c>
      <c r="C9" s="28">
        <v>1</v>
      </c>
      <c r="D9" s="29">
        <v>46089</v>
      </c>
      <c r="E9" s="29">
        <v>46090</v>
      </c>
      <c r="F9" s="5"/>
      <c r="G9" s="3">
        <f t="shared" si="2"/>
        <v>2</v>
      </c>
      <c r="H9" s="30"/>
      <c r="I9" s="30"/>
      <c r="J9" s="30"/>
      <c r="K9" s="30"/>
      <c r="L9" s="30"/>
      <c r="M9" s="30"/>
      <c r="N9" s="30"/>
      <c r="O9" s="30"/>
      <c r="P9" s="30"/>
      <c r="Q9" s="30"/>
      <c r="R9" s="30"/>
      <c r="S9" s="30"/>
      <c r="T9" s="30"/>
      <c r="U9" s="30"/>
      <c r="V9" s="30"/>
      <c r="W9" s="30"/>
      <c r="X9" s="30"/>
      <c r="Y9" s="30"/>
      <c r="Z9" s="30"/>
      <c r="AA9" s="30"/>
      <c r="AB9" s="30"/>
    </row>
    <row r="10" spans="1:28" s="27" customFormat="1" ht="30" customHeight="1" thickBot="1" x14ac:dyDescent="0.25">
      <c r="A10" s="52"/>
      <c r="B10" s="57" t="s">
        <v>61</v>
      </c>
      <c r="C10" s="32">
        <v>1</v>
      </c>
      <c r="D10" s="33">
        <f>E9</f>
        <v>46090</v>
      </c>
      <c r="E10" s="29">
        <v>46090</v>
      </c>
      <c r="F10" s="5"/>
      <c r="G10" s="3">
        <f t="shared" si="2"/>
        <v>1</v>
      </c>
      <c r="H10" s="30"/>
      <c r="I10" s="30"/>
      <c r="J10" s="30"/>
      <c r="K10" s="30"/>
      <c r="L10" s="30"/>
      <c r="M10" s="30"/>
      <c r="N10" s="30"/>
      <c r="O10" s="30"/>
      <c r="P10" s="30"/>
      <c r="Q10" s="30"/>
      <c r="R10" s="30"/>
      <c r="S10" s="30"/>
      <c r="T10" s="34"/>
      <c r="U10" s="34"/>
      <c r="V10" s="30"/>
      <c r="W10" s="30"/>
      <c r="X10" s="30"/>
      <c r="Y10" s="30"/>
      <c r="Z10" s="30"/>
      <c r="AA10" s="30"/>
      <c r="AB10" s="30"/>
    </row>
    <row r="11" spans="1:28" s="27" customFormat="1" ht="42" customHeight="1" thickBot="1" x14ac:dyDescent="0.25">
      <c r="A11" s="4"/>
      <c r="B11" s="57" t="s">
        <v>15</v>
      </c>
      <c r="C11" s="32">
        <v>1</v>
      </c>
      <c r="D11" s="33">
        <f>E10</f>
        <v>46090</v>
      </c>
      <c r="E11" s="29">
        <v>46090</v>
      </c>
      <c r="F11" s="5"/>
      <c r="G11" s="3">
        <f t="shared" si="2"/>
        <v>1</v>
      </c>
      <c r="H11" s="30"/>
      <c r="I11" s="30"/>
      <c r="J11" s="30"/>
      <c r="K11" s="30"/>
      <c r="L11" s="30"/>
      <c r="M11" s="30"/>
      <c r="N11" s="30"/>
      <c r="O11" s="30"/>
      <c r="P11" s="30"/>
      <c r="Q11" s="30"/>
      <c r="R11" s="30"/>
      <c r="S11" s="30"/>
      <c r="T11" s="30"/>
      <c r="U11" s="30"/>
      <c r="V11" s="30"/>
      <c r="W11" s="30"/>
      <c r="X11" s="30"/>
      <c r="Y11" s="30"/>
      <c r="Z11" s="30"/>
      <c r="AA11" s="30"/>
      <c r="AB11" s="30"/>
    </row>
    <row r="12" spans="1:28" s="27" customFormat="1" ht="30" customHeight="1" thickBot="1" x14ac:dyDescent="0.25">
      <c r="A12" s="4"/>
      <c r="B12" s="57" t="s">
        <v>17</v>
      </c>
      <c r="C12" s="32">
        <v>1</v>
      </c>
      <c r="D12" s="33">
        <f>E11</f>
        <v>46090</v>
      </c>
      <c r="E12" s="29">
        <v>46090</v>
      </c>
      <c r="F12" s="5"/>
      <c r="G12" s="3">
        <f t="shared" si="2"/>
        <v>1</v>
      </c>
      <c r="H12" s="30"/>
      <c r="I12" s="30"/>
      <c r="J12" s="30"/>
      <c r="K12" s="30"/>
      <c r="L12" s="30"/>
      <c r="M12" s="30"/>
      <c r="N12" s="30"/>
      <c r="O12" s="30"/>
      <c r="P12" s="30"/>
      <c r="Q12" s="30"/>
      <c r="R12" s="30"/>
      <c r="S12" s="30"/>
      <c r="T12" s="30"/>
      <c r="U12" s="30"/>
      <c r="V12" s="30"/>
      <c r="W12" s="30"/>
      <c r="X12" s="34"/>
      <c r="Y12" s="30"/>
      <c r="Z12" s="30"/>
      <c r="AA12" s="30"/>
      <c r="AB12" s="30"/>
    </row>
    <row r="13" spans="1:28" s="27" customFormat="1" ht="30" customHeight="1" thickBot="1" x14ac:dyDescent="0.25">
      <c r="A13" s="4"/>
      <c r="B13" s="31" t="s">
        <v>18</v>
      </c>
      <c r="C13" s="32">
        <v>1</v>
      </c>
      <c r="D13" s="33">
        <f>D10+1</f>
        <v>46091</v>
      </c>
      <c r="E13" s="29">
        <v>46090</v>
      </c>
      <c r="F13" s="5"/>
      <c r="G13" s="3">
        <f t="shared" si="2"/>
        <v>0</v>
      </c>
      <c r="H13" s="30"/>
      <c r="I13" s="30"/>
      <c r="J13" s="30"/>
      <c r="K13" s="30"/>
      <c r="L13" s="30"/>
      <c r="M13" s="30"/>
      <c r="N13" s="30"/>
      <c r="O13" s="30"/>
      <c r="P13" s="30"/>
      <c r="Q13" s="30"/>
      <c r="R13" s="30"/>
      <c r="S13" s="30"/>
      <c r="T13" s="30"/>
      <c r="U13" s="30"/>
      <c r="V13" s="30"/>
      <c r="W13" s="30"/>
      <c r="X13" s="30"/>
      <c r="Y13" s="30"/>
      <c r="Z13" s="30"/>
      <c r="AA13" s="30"/>
      <c r="AB13" s="30"/>
    </row>
    <row r="14" spans="1:28" s="27" customFormat="1" ht="30" customHeight="1" thickBot="1" x14ac:dyDescent="0.25">
      <c r="A14" s="52"/>
      <c r="B14" s="35" t="s">
        <v>16</v>
      </c>
      <c r="C14" s="36"/>
      <c r="D14" s="37"/>
      <c r="E14" s="38"/>
      <c r="F14" s="5"/>
      <c r="G14" s="3" t="str">
        <f t="shared" si="2"/>
        <v/>
      </c>
    </row>
    <row r="15" spans="1:28" s="27" customFormat="1" ht="30" customHeight="1" thickBot="1" x14ac:dyDescent="0.25">
      <c r="A15" s="52"/>
      <c r="B15" s="59" t="s">
        <v>36</v>
      </c>
      <c r="C15" s="39">
        <v>1</v>
      </c>
      <c r="D15" s="40">
        <v>46089</v>
      </c>
      <c r="E15" s="40">
        <v>46090</v>
      </c>
      <c r="F15" s="5"/>
      <c r="G15" s="3">
        <f t="shared" si="2"/>
        <v>2</v>
      </c>
      <c r="H15" s="30"/>
      <c r="I15" s="30"/>
      <c r="J15" s="30"/>
      <c r="K15" s="30"/>
      <c r="L15" s="30"/>
      <c r="M15" s="30"/>
      <c r="N15" s="30"/>
      <c r="O15" s="30"/>
      <c r="P15" s="30"/>
      <c r="Q15" s="30"/>
      <c r="R15" s="30"/>
      <c r="S15" s="30"/>
      <c r="T15" s="30"/>
      <c r="U15" s="30"/>
      <c r="V15" s="30"/>
      <c r="W15" s="30"/>
      <c r="X15" s="30"/>
      <c r="Y15" s="30"/>
      <c r="Z15" s="30"/>
      <c r="AA15" s="30"/>
      <c r="AB15" s="30"/>
    </row>
    <row r="16" spans="1:28" s="27" customFormat="1" ht="30" customHeight="1" thickBot="1" x14ac:dyDescent="0.25">
      <c r="A16" s="4"/>
      <c r="B16" s="59" t="s">
        <v>19</v>
      </c>
      <c r="C16" s="39">
        <v>1</v>
      </c>
      <c r="D16" s="40">
        <v>46089</v>
      </c>
      <c r="E16" s="40">
        <v>46090</v>
      </c>
      <c r="F16" s="5"/>
      <c r="G16" s="3">
        <f t="shared" si="2"/>
        <v>2</v>
      </c>
      <c r="H16" s="30"/>
      <c r="I16" s="30"/>
      <c r="J16" s="30"/>
      <c r="K16" s="30"/>
      <c r="L16" s="30"/>
      <c r="M16" s="30"/>
      <c r="N16" s="30"/>
      <c r="O16" s="30"/>
      <c r="P16" s="30"/>
      <c r="Q16" s="30"/>
      <c r="R16" s="30"/>
      <c r="S16" s="30"/>
      <c r="T16" s="30"/>
      <c r="U16" s="30"/>
      <c r="V16" s="30"/>
      <c r="W16" s="30"/>
      <c r="X16" s="30"/>
      <c r="Y16" s="30"/>
      <c r="Z16" s="30"/>
      <c r="AA16" s="30"/>
      <c r="AB16" s="30"/>
    </row>
    <row r="17" spans="1:28" s="27" customFormat="1" ht="30" customHeight="1" thickBot="1" x14ac:dyDescent="0.25">
      <c r="A17" s="4"/>
      <c r="B17" s="59" t="s">
        <v>21</v>
      </c>
      <c r="C17" s="39">
        <v>1</v>
      </c>
      <c r="D17" s="40">
        <v>46089</v>
      </c>
      <c r="E17" s="40">
        <v>46090</v>
      </c>
      <c r="F17" s="5"/>
      <c r="G17" s="3">
        <f t="shared" si="2"/>
        <v>2</v>
      </c>
      <c r="H17" s="30"/>
      <c r="I17" s="30"/>
      <c r="J17" s="30"/>
      <c r="K17" s="30"/>
      <c r="L17" s="30"/>
      <c r="M17" s="30"/>
      <c r="N17" s="30"/>
      <c r="O17" s="30"/>
      <c r="P17" s="30"/>
      <c r="Q17" s="30"/>
      <c r="R17" s="30"/>
      <c r="S17" s="30"/>
      <c r="T17" s="30"/>
      <c r="U17" s="30"/>
      <c r="V17" s="30"/>
      <c r="W17" s="30"/>
      <c r="X17" s="34"/>
      <c r="Y17" s="30"/>
      <c r="Z17" s="30"/>
      <c r="AA17" s="30"/>
      <c r="AB17" s="30"/>
    </row>
    <row r="18" spans="1:28" s="27" customFormat="1" ht="30" customHeight="1" thickBot="1" x14ac:dyDescent="0.25">
      <c r="A18" s="4"/>
      <c r="B18" s="59" t="s">
        <v>20</v>
      </c>
      <c r="C18" s="39">
        <v>1</v>
      </c>
      <c r="D18" s="40">
        <f>D17</f>
        <v>46089</v>
      </c>
      <c r="E18" s="40">
        <v>46090</v>
      </c>
      <c r="F18" s="5"/>
      <c r="G18" s="3">
        <f t="shared" si="2"/>
        <v>2</v>
      </c>
      <c r="H18" s="30"/>
      <c r="I18" s="30"/>
      <c r="J18" s="30"/>
      <c r="K18" s="30"/>
      <c r="L18" s="30"/>
      <c r="M18" s="30"/>
      <c r="N18" s="30"/>
      <c r="O18" s="30"/>
      <c r="P18" s="30"/>
      <c r="Q18" s="30"/>
      <c r="R18" s="30"/>
      <c r="S18" s="30"/>
      <c r="T18" s="30"/>
      <c r="U18" s="30"/>
      <c r="V18" s="30"/>
      <c r="W18" s="30"/>
      <c r="X18" s="30"/>
      <c r="Y18" s="30"/>
      <c r="Z18" s="30"/>
      <c r="AA18" s="30"/>
      <c r="AB18" s="30"/>
    </row>
    <row r="19" spans="1:28" s="27" customFormat="1" ht="30" customHeight="1" thickBot="1" x14ac:dyDescent="0.25">
      <c r="A19" s="4"/>
      <c r="B19" s="60" t="s">
        <v>22</v>
      </c>
      <c r="C19" s="58">
        <v>1</v>
      </c>
      <c r="D19" s="40">
        <f>D18</f>
        <v>46089</v>
      </c>
      <c r="E19" s="40">
        <v>46090</v>
      </c>
      <c r="F19" s="5"/>
      <c r="G19" s="3"/>
      <c r="H19" s="45"/>
      <c r="I19" s="45"/>
      <c r="J19" s="45"/>
      <c r="K19" s="45"/>
      <c r="L19" s="45"/>
      <c r="M19" s="45"/>
      <c r="N19" s="45"/>
      <c r="O19" s="45"/>
      <c r="P19" s="45"/>
      <c r="Q19" s="45"/>
      <c r="R19" s="45"/>
      <c r="S19" s="45"/>
      <c r="T19" s="45"/>
      <c r="U19" s="45"/>
      <c r="V19" s="45"/>
      <c r="W19" s="45"/>
      <c r="X19" s="45"/>
      <c r="Y19" s="45"/>
      <c r="Z19" s="45"/>
      <c r="AA19" s="45"/>
      <c r="AB19" s="45"/>
    </row>
    <row r="20" spans="1:28" s="27" customFormat="1" ht="30" customHeight="1" thickBot="1" x14ac:dyDescent="0.25">
      <c r="A20" s="4"/>
      <c r="B20" s="60" t="s">
        <v>23</v>
      </c>
      <c r="C20" s="58">
        <v>1</v>
      </c>
      <c r="D20" s="40">
        <f>D19</f>
        <v>46089</v>
      </c>
      <c r="E20" s="40">
        <v>46090</v>
      </c>
      <c r="F20" s="5"/>
      <c r="G20" s="3"/>
      <c r="H20" s="45"/>
      <c r="I20" s="45"/>
      <c r="J20" s="45"/>
      <c r="K20" s="45"/>
      <c r="L20" s="45"/>
      <c r="M20" s="45"/>
      <c r="N20" s="45"/>
      <c r="O20" s="45"/>
      <c r="P20" s="45"/>
      <c r="Q20" s="45"/>
      <c r="R20" s="45"/>
      <c r="S20" s="45"/>
      <c r="T20" s="45"/>
      <c r="U20" s="45"/>
      <c r="V20" s="45"/>
      <c r="W20" s="45"/>
      <c r="X20" s="45"/>
      <c r="Y20" s="45"/>
      <c r="Z20" s="45"/>
      <c r="AA20" s="45"/>
      <c r="AB20" s="45"/>
    </row>
    <row r="21" spans="1:28" s="27" customFormat="1" ht="30" customHeight="1" thickBot="1" x14ac:dyDescent="0.25">
      <c r="A21" s="4"/>
      <c r="B21" s="41" t="s">
        <v>28</v>
      </c>
      <c r="C21" s="42"/>
      <c r="D21" s="43"/>
      <c r="E21" s="44"/>
      <c r="F21" s="5"/>
      <c r="G21" s="3" t="str">
        <f t="shared" si="2"/>
        <v/>
      </c>
      <c r="H21" s="45"/>
      <c r="I21" s="45"/>
      <c r="J21" s="45"/>
      <c r="K21" s="45"/>
      <c r="L21" s="45"/>
      <c r="M21" s="45"/>
      <c r="N21" s="45"/>
      <c r="O21" s="45"/>
      <c r="P21" s="45"/>
      <c r="Q21" s="45"/>
      <c r="R21" s="45"/>
      <c r="S21" s="45"/>
      <c r="T21" s="45"/>
      <c r="U21" s="45"/>
      <c r="V21" s="45"/>
      <c r="W21" s="45"/>
      <c r="X21" s="45"/>
      <c r="Y21" s="45"/>
      <c r="Z21" s="45"/>
      <c r="AA21" s="45"/>
      <c r="AB21" s="45"/>
    </row>
    <row r="22" spans="1:28" s="27" customFormat="1" ht="30" customHeight="1" thickBot="1" x14ac:dyDescent="0.25">
      <c r="A22" s="4"/>
      <c r="B22" s="61" t="s">
        <v>24</v>
      </c>
      <c r="C22" s="46">
        <v>1</v>
      </c>
      <c r="D22" s="47">
        <v>46090</v>
      </c>
      <c r="E22" s="47">
        <v>46091</v>
      </c>
      <c r="F22" s="5"/>
      <c r="G22" s="3">
        <f t="shared" si="2"/>
        <v>2</v>
      </c>
      <c r="H22" s="30"/>
      <c r="I22" s="30"/>
      <c r="J22" s="30"/>
      <c r="K22" s="30"/>
      <c r="L22" s="30"/>
      <c r="M22" s="30"/>
      <c r="N22" s="30"/>
      <c r="O22" s="30"/>
      <c r="P22" s="30"/>
      <c r="Q22" s="30"/>
      <c r="R22" s="30"/>
      <c r="S22" s="30"/>
      <c r="T22" s="30"/>
      <c r="U22" s="30"/>
      <c r="V22" s="30"/>
      <c r="W22" s="30"/>
      <c r="X22" s="30"/>
      <c r="Y22" s="30"/>
      <c r="Z22" s="30"/>
      <c r="AA22" s="30"/>
      <c r="AB22" s="30"/>
    </row>
    <row r="23" spans="1:28" s="27" customFormat="1" ht="30" customHeight="1" thickBot="1" x14ac:dyDescent="0.25">
      <c r="A23" s="4"/>
      <c r="B23" s="61" t="s">
        <v>62</v>
      </c>
      <c r="C23" s="46">
        <v>1</v>
      </c>
      <c r="D23" s="47">
        <v>46090</v>
      </c>
      <c r="E23" s="47">
        <v>46091</v>
      </c>
      <c r="F23" s="5"/>
      <c r="G23" s="3">
        <f t="shared" si="2"/>
        <v>2</v>
      </c>
      <c r="H23" s="30"/>
      <c r="I23" s="30"/>
      <c r="J23" s="30"/>
      <c r="K23" s="30"/>
      <c r="L23" s="30"/>
      <c r="M23" s="30"/>
      <c r="N23" s="30"/>
      <c r="O23" s="30"/>
      <c r="P23" s="30"/>
      <c r="Q23" s="30"/>
      <c r="R23" s="30"/>
      <c r="S23" s="30"/>
      <c r="T23" s="30"/>
      <c r="U23" s="30"/>
      <c r="V23" s="30"/>
      <c r="W23" s="30"/>
      <c r="X23" s="30"/>
      <c r="Y23" s="30"/>
      <c r="Z23" s="30"/>
      <c r="AA23" s="30"/>
      <c r="AB23" s="30"/>
    </row>
    <row r="24" spans="1:28" s="27" customFormat="1" ht="30" customHeight="1" thickBot="1" x14ac:dyDescent="0.25">
      <c r="A24" s="4"/>
      <c r="B24" s="61" t="s">
        <v>25</v>
      </c>
      <c r="C24" s="46">
        <v>1</v>
      </c>
      <c r="D24" s="47">
        <v>46090</v>
      </c>
      <c r="E24" s="47">
        <v>46091</v>
      </c>
      <c r="F24" s="5"/>
      <c r="G24" s="3">
        <f t="shared" si="2"/>
        <v>2</v>
      </c>
      <c r="H24" s="30"/>
      <c r="I24" s="30"/>
      <c r="J24" s="30"/>
      <c r="K24" s="30"/>
      <c r="L24" s="30"/>
      <c r="M24" s="30"/>
      <c r="N24" s="30"/>
      <c r="O24" s="30"/>
      <c r="P24" s="30"/>
      <c r="Q24" s="30"/>
      <c r="R24" s="30"/>
      <c r="S24" s="30"/>
      <c r="T24" s="30"/>
      <c r="U24" s="30"/>
      <c r="V24" s="30"/>
      <c r="W24" s="30"/>
      <c r="X24" s="30"/>
      <c r="Y24" s="30"/>
      <c r="Z24" s="30"/>
      <c r="AA24" s="30"/>
      <c r="AB24" s="30"/>
    </row>
    <row r="25" spans="1:28" s="27" customFormat="1" ht="45.75" customHeight="1" thickBot="1" x14ac:dyDescent="0.25">
      <c r="A25" s="4"/>
      <c r="B25" s="61" t="s">
        <v>26</v>
      </c>
      <c r="C25" s="46">
        <v>1</v>
      </c>
      <c r="D25" s="47">
        <v>46090</v>
      </c>
      <c r="E25" s="47">
        <v>46091</v>
      </c>
      <c r="F25" s="5"/>
      <c r="G25" s="3">
        <f t="shared" si="2"/>
        <v>2</v>
      </c>
      <c r="H25" s="30"/>
      <c r="I25" s="30"/>
      <c r="J25" s="30"/>
      <c r="K25" s="30"/>
      <c r="L25" s="30"/>
      <c r="M25" s="30"/>
      <c r="N25" s="30"/>
      <c r="O25" s="30"/>
      <c r="P25" s="30"/>
      <c r="Q25" s="30"/>
      <c r="R25" s="30"/>
      <c r="S25" s="30"/>
      <c r="T25" s="30"/>
      <c r="U25" s="30"/>
      <c r="V25" s="30"/>
      <c r="W25" s="30"/>
      <c r="X25" s="30"/>
      <c r="Y25" s="30"/>
      <c r="Z25" s="30"/>
      <c r="AA25" s="30"/>
      <c r="AB25" s="30"/>
    </row>
    <row r="26" spans="1:28" s="27" customFormat="1" ht="30" customHeight="1" thickBot="1" x14ac:dyDescent="0.25">
      <c r="A26" s="4"/>
      <c r="B26" s="61" t="s">
        <v>27</v>
      </c>
      <c r="C26" s="46">
        <v>1</v>
      </c>
      <c r="D26" s="47">
        <v>46090</v>
      </c>
      <c r="E26" s="47">
        <v>46091</v>
      </c>
      <c r="F26" s="5"/>
      <c r="G26" s="3"/>
      <c r="H26" s="30"/>
      <c r="I26" s="30"/>
      <c r="J26" s="30"/>
      <c r="K26" s="30"/>
      <c r="L26" s="30"/>
      <c r="M26" s="30"/>
      <c r="N26" s="30"/>
      <c r="O26" s="30"/>
      <c r="P26" s="30"/>
      <c r="Q26" s="30"/>
      <c r="R26" s="30"/>
      <c r="S26" s="30"/>
      <c r="T26" s="30"/>
      <c r="U26" s="30"/>
      <c r="V26" s="30"/>
      <c r="W26" s="30"/>
      <c r="X26" s="30"/>
      <c r="Y26" s="30"/>
      <c r="Z26" s="30"/>
      <c r="AA26" s="30"/>
      <c r="AB26" s="30"/>
    </row>
    <row r="27" spans="1:28" s="27" customFormat="1" ht="30" customHeight="1" thickBot="1" x14ac:dyDescent="0.25">
      <c r="A27" s="4"/>
      <c r="B27" s="73" t="s">
        <v>29</v>
      </c>
      <c r="C27" s="74"/>
      <c r="D27" s="75"/>
      <c r="E27" s="76"/>
      <c r="F27" s="5"/>
      <c r="G27" s="3" t="str">
        <f t="shared" si="2"/>
        <v/>
      </c>
      <c r="H27" s="48"/>
      <c r="I27" s="48"/>
      <c r="J27" s="48"/>
      <c r="K27" s="48"/>
      <c r="L27" s="48"/>
      <c r="M27" s="48"/>
      <c r="N27" s="48"/>
      <c r="O27" s="48"/>
      <c r="P27" s="48"/>
      <c r="Q27" s="48"/>
      <c r="R27" s="48"/>
      <c r="S27" s="48"/>
      <c r="T27" s="48"/>
      <c r="U27" s="48"/>
      <c r="V27" s="48"/>
      <c r="W27" s="48"/>
      <c r="X27" s="48"/>
      <c r="Y27" s="48"/>
      <c r="Z27" s="48"/>
      <c r="AA27" s="48"/>
      <c r="AB27" s="48"/>
    </row>
    <row r="28" spans="1:28" s="27" customFormat="1" ht="30" customHeight="1" thickBot="1" x14ac:dyDescent="0.25">
      <c r="A28" s="4"/>
      <c r="B28" s="77" t="s">
        <v>60</v>
      </c>
      <c r="C28" s="63">
        <v>1</v>
      </c>
      <c r="D28" s="64">
        <v>46091</v>
      </c>
      <c r="E28" s="64">
        <v>46092</v>
      </c>
      <c r="F28" s="5"/>
      <c r="G28" s="3">
        <f t="shared" si="2"/>
        <v>2</v>
      </c>
      <c r="H28" s="30"/>
      <c r="I28" s="30"/>
      <c r="J28" s="30"/>
      <c r="K28" s="30"/>
      <c r="L28" s="30"/>
      <c r="M28" s="30"/>
      <c r="N28" s="30"/>
      <c r="O28" s="30"/>
      <c r="P28" s="30"/>
      <c r="Q28" s="30"/>
      <c r="R28" s="30"/>
      <c r="S28" s="30"/>
      <c r="T28" s="30"/>
      <c r="U28" s="30"/>
      <c r="V28" s="30"/>
      <c r="W28" s="30"/>
      <c r="X28" s="30"/>
      <c r="Y28" s="30"/>
      <c r="Z28" s="30"/>
      <c r="AA28" s="30"/>
      <c r="AB28" s="30"/>
    </row>
    <row r="29" spans="1:28" s="27" customFormat="1" ht="30" customHeight="1" thickBot="1" x14ac:dyDescent="0.25">
      <c r="A29" s="4"/>
      <c r="B29" s="77" t="s">
        <v>30</v>
      </c>
      <c r="C29" s="63">
        <v>1</v>
      </c>
      <c r="D29" s="64">
        <v>46091</v>
      </c>
      <c r="E29" s="64">
        <v>46092</v>
      </c>
      <c r="F29" s="5"/>
      <c r="G29" s="3">
        <f t="shared" si="2"/>
        <v>2</v>
      </c>
      <c r="H29" s="30"/>
      <c r="I29" s="30"/>
      <c r="J29" s="30"/>
      <c r="K29" s="30"/>
      <c r="L29" s="30"/>
      <c r="M29" s="30"/>
      <c r="N29" s="30"/>
      <c r="O29" s="30"/>
      <c r="P29" s="30"/>
      <c r="Q29" s="30"/>
      <c r="R29" s="30"/>
      <c r="S29" s="30"/>
      <c r="T29" s="30"/>
      <c r="U29" s="30"/>
      <c r="V29" s="30"/>
      <c r="W29" s="30"/>
      <c r="X29" s="30"/>
      <c r="Y29" s="30"/>
      <c r="Z29" s="30"/>
      <c r="AA29" s="30"/>
      <c r="AB29" s="30"/>
    </row>
    <row r="30" spans="1:28" s="27" customFormat="1" ht="30" customHeight="1" thickBot="1" x14ac:dyDescent="0.25">
      <c r="A30" s="4"/>
      <c r="B30" s="77" t="s">
        <v>31</v>
      </c>
      <c r="C30" s="63">
        <v>1</v>
      </c>
      <c r="D30" s="64">
        <v>46091</v>
      </c>
      <c r="E30" s="64">
        <v>46092</v>
      </c>
      <c r="F30" s="5"/>
      <c r="G30" s="3">
        <f t="shared" si="2"/>
        <v>2</v>
      </c>
      <c r="H30" s="30"/>
      <c r="I30" s="30"/>
      <c r="J30" s="30"/>
      <c r="K30" s="30"/>
      <c r="L30" s="30"/>
      <c r="M30" s="30"/>
      <c r="N30" s="30"/>
      <c r="O30" s="30"/>
      <c r="P30" s="30"/>
      <c r="Q30" s="30"/>
      <c r="R30" s="30"/>
      <c r="S30" s="30"/>
      <c r="T30" s="30"/>
      <c r="U30" s="30"/>
      <c r="V30" s="30"/>
      <c r="W30" s="30"/>
      <c r="X30" s="30"/>
      <c r="Y30" s="30"/>
      <c r="Z30" s="30"/>
      <c r="AA30" s="30"/>
      <c r="AB30" s="30"/>
    </row>
    <row r="31" spans="1:28" s="27" customFormat="1" ht="30" customHeight="1" thickBot="1" x14ac:dyDescent="0.25">
      <c r="A31" s="4"/>
      <c r="B31" s="77" t="s">
        <v>32</v>
      </c>
      <c r="C31" s="63">
        <v>1</v>
      </c>
      <c r="D31" s="64">
        <v>46091</v>
      </c>
      <c r="E31" s="64">
        <v>46092</v>
      </c>
      <c r="F31" s="5"/>
      <c r="G31" s="3">
        <f t="shared" si="2"/>
        <v>2</v>
      </c>
      <c r="H31" s="30"/>
      <c r="I31" s="30"/>
      <c r="J31" s="30"/>
      <c r="K31" s="30"/>
      <c r="L31" s="30"/>
      <c r="M31" s="30"/>
      <c r="N31" s="30"/>
      <c r="O31" s="30"/>
      <c r="P31" s="30"/>
      <c r="Q31" s="30"/>
      <c r="R31" s="30"/>
      <c r="S31" s="30"/>
      <c r="T31" s="30"/>
      <c r="U31" s="30"/>
      <c r="V31" s="30"/>
      <c r="W31" s="30"/>
      <c r="X31" s="30"/>
      <c r="Y31" s="30"/>
      <c r="Z31" s="30"/>
      <c r="AA31" s="30"/>
      <c r="AB31" s="30"/>
    </row>
    <row r="32" spans="1:28" s="27" customFormat="1" ht="30" customHeight="1" thickBot="1" x14ac:dyDescent="0.25">
      <c r="A32" s="4"/>
      <c r="B32" s="98" t="s">
        <v>33</v>
      </c>
      <c r="C32" s="99"/>
      <c r="D32" s="100"/>
      <c r="E32" s="101"/>
      <c r="F32" s="5"/>
      <c r="G32" s="3" t="str">
        <f t="shared" si="2"/>
        <v/>
      </c>
      <c r="H32" s="48"/>
      <c r="I32" s="48"/>
      <c r="J32" s="48"/>
      <c r="K32" s="48"/>
      <c r="L32" s="48"/>
      <c r="M32" s="48"/>
      <c r="N32" s="48"/>
      <c r="O32" s="48"/>
      <c r="P32" s="48"/>
      <c r="Q32" s="48"/>
      <c r="R32" s="48"/>
      <c r="S32" s="48"/>
      <c r="T32" s="48"/>
      <c r="U32" s="48"/>
      <c r="V32" s="48"/>
      <c r="W32" s="48"/>
      <c r="X32" s="48"/>
      <c r="Y32" s="48"/>
      <c r="Z32" s="48"/>
      <c r="AA32" s="48"/>
      <c r="AB32" s="48"/>
    </row>
    <row r="33" spans="1:28" s="27" customFormat="1" ht="30" customHeight="1" thickBot="1" x14ac:dyDescent="0.25">
      <c r="A33" s="52"/>
      <c r="B33" s="80" t="s">
        <v>63</v>
      </c>
      <c r="C33" s="65">
        <v>1</v>
      </c>
      <c r="D33" s="66"/>
      <c r="E33" s="66"/>
      <c r="F33" s="5"/>
      <c r="G33" s="3" t="str">
        <f t="shared" si="2"/>
        <v/>
      </c>
      <c r="H33" s="30"/>
      <c r="I33" s="30"/>
      <c r="J33" s="30"/>
      <c r="K33" s="30"/>
      <c r="L33" s="30"/>
      <c r="M33" s="30"/>
      <c r="N33" s="30"/>
      <c r="O33" s="30"/>
      <c r="P33" s="30"/>
      <c r="Q33" s="30"/>
      <c r="R33" s="30"/>
      <c r="S33" s="30"/>
      <c r="T33" s="30"/>
      <c r="U33" s="30"/>
      <c r="V33" s="30"/>
      <c r="W33" s="30"/>
      <c r="X33" s="30"/>
      <c r="Y33" s="30"/>
      <c r="Z33" s="30"/>
      <c r="AA33" s="30"/>
      <c r="AB33" s="30"/>
    </row>
    <row r="34" spans="1:28" ht="30" customHeight="1" thickBot="1" x14ac:dyDescent="0.25">
      <c r="B34" s="80" t="s">
        <v>34</v>
      </c>
      <c r="C34" s="65">
        <v>1</v>
      </c>
      <c r="D34" s="66"/>
      <c r="E34" s="66"/>
      <c r="F34" s="5"/>
      <c r="G34" s="3" t="str">
        <f t="shared" si="2"/>
        <v/>
      </c>
      <c r="H34" s="30"/>
      <c r="I34" s="30"/>
      <c r="J34" s="30"/>
      <c r="K34" s="30"/>
      <c r="L34" s="30"/>
      <c r="M34" s="30"/>
      <c r="N34" s="30"/>
      <c r="O34" s="30"/>
      <c r="P34" s="30"/>
      <c r="Q34" s="30"/>
      <c r="R34" s="30"/>
      <c r="S34" s="30"/>
      <c r="T34" s="30"/>
      <c r="U34" s="30"/>
      <c r="V34" s="30"/>
      <c r="W34" s="30"/>
      <c r="X34" s="30"/>
      <c r="Y34" s="30"/>
      <c r="Z34" s="30"/>
      <c r="AA34" s="30"/>
      <c r="AB34" s="30"/>
    </row>
    <row r="35" spans="1:28" ht="30" customHeight="1" thickBot="1" x14ac:dyDescent="0.25">
      <c r="B35" s="80" t="s">
        <v>35</v>
      </c>
      <c r="C35" s="65">
        <v>1</v>
      </c>
      <c r="D35" s="66"/>
      <c r="E35" s="66"/>
      <c r="F35" s="5"/>
      <c r="G35" s="3" t="str">
        <f t="shared" si="2"/>
        <v/>
      </c>
      <c r="H35" s="30"/>
      <c r="I35" s="30"/>
      <c r="J35" s="30"/>
      <c r="K35" s="30"/>
      <c r="L35" s="30"/>
      <c r="M35" s="30"/>
      <c r="N35" s="30"/>
      <c r="O35" s="30"/>
      <c r="P35" s="30"/>
      <c r="Q35" s="30"/>
      <c r="R35" s="30"/>
      <c r="S35" s="30"/>
      <c r="T35" s="30"/>
      <c r="U35" s="30"/>
      <c r="V35" s="30"/>
      <c r="W35" s="30"/>
      <c r="X35" s="30"/>
      <c r="Y35" s="30"/>
      <c r="Z35" s="30"/>
      <c r="AA35" s="30"/>
      <c r="AB35" s="30"/>
    </row>
    <row r="36" spans="1:28" ht="30" customHeight="1" thickBot="1" x14ac:dyDescent="0.25">
      <c r="B36" s="82" t="s">
        <v>37</v>
      </c>
      <c r="C36" s="90"/>
      <c r="D36" s="91"/>
      <c r="E36" s="92"/>
      <c r="F36" s="5"/>
      <c r="G36" s="3" t="str">
        <f t="shared" si="2"/>
        <v/>
      </c>
      <c r="H36" s="48"/>
      <c r="I36" s="48"/>
      <c r="J36" s="48"/>
      <c r="K36" s="48"/>
      <c r="L36" s="48"/>
      <c r="M36" s="48"/>
      <c r="N36" s="48"/>
      <c r="O36" s="48"/>
      <c r="P36" s="48"/>
      <c r="Q36" s="48"/>
      <c r="R36" s="48"/>
      <c r="S36" s="48"/>
      <c r="T36" s="48"/>
      <c r="U36" s="48"/>
      <c r="V36" s="48"/>
      <c r="W36" s="48"/>
      <c r="X36" s="48"/>
      <c r="Y36" s="48"/>
      <c r="Z36" s="48"/>
      <c r="AA36" s="48"/>
      <c r="AB36" s="48"/>
    </row>
    <row r="37" spans="1:28" ht="30" customHeight="1" thickBot="1" x14ac:dyDescent="0.25">
      <c r="B37" s="93" t="s">
        <v>39</v>
      </c>
      <c r="C37" s="88">
        <v>1</v>
      </c>
      <c r="D37" s="89"/>
      <c r="E37" s="89"/>
      <c r="F37" s="5"/>
      <c r="G37" s="3" t="str">
        <f t="shared" si="2"/>
        <v/>
      </c>
      <c r="H37" s="30"/>
      <c r="I37" s="30"/>
      <c r="J37" s="30"/>
      <c r="K37" s="30"/>
      <c r="L37" s="30"/>
      <c r="M37" s="30"/>
      <c r="N37" s="30"/>
      <c r="O37" s="30"/>
      <c r="P37" s="30"/>
      <c r="Q37" s="30"/>
      <c r="R37" s="30"/>
      <c r="S37" s="30"/>
      <c r="T37" s="30"/>
      <c r="U37" s="30"/>
      <c r="V37" s="30"/>
      <c r="W37" s="30"/>
      <c r="X37" s="30"/>
      <c r="Y37" s="30"/>
      <c r="Z37" s="30"/>
      <c r="AA37" s="30"/>
      <c r="AB37" s="30"/>
    </row>
    <row r="38" spans="1:28" ht="30" customHeight="1" thickBot="1" x14ac:dyDescent="0.25">
      <c r="B38" s="87" t="s">
        <v>38</v>
      </c>
      <c r="C38" s="88">
        <v>1</v>
      </c>
      <c r="D38" s="89"/>
      <c r="E38" s="89"/>
      <c r="F38" s="5"/>
      <c r="G38" s="3" t="str">
        <f t="shared" si="2"/>
        <v/>
      </c>
      <c r="H38" s="30"/>
      <c r="I38" s="30"/>
      <c r="J38" s="30"/>
      <c r="K38" s="30"/>
      <c r="L38" s="30"/>
      <c r="M38" s="30"/>
      <c r="N38" s="30"/>
      <c r="O38" s="30"/>
      <c r="P38" s="30"/>
      <c r="Q38" s="30"/>
      <c r="R38" s="30"/>
      <c r="S38" s="30"/>
      <c r="T38" s="30"/>
      <c r="U38" s="30"/>
      <c r="V38" s="30"/>
      <c r="W38" s="30"/>
      <c r="X38" s="30"/>
      <c r="Y38" s="30"/>
      <c r="Z38" s="30"/>
      <c r="AA38" s="30"/>
      <c r="AB38" s="30"/>
    </row>
    <row r="39" spans="1:28" ht="30" customHeight="1" thickBot="1" x14ac:dyDescent="0.25">
      <c r="B39" s="83" t="s">
        <v>40</v>
      </c>
      <c r="C39" s="84"/>
      <c r="D39" s="85"/>
      <c r="E39" s="86"/>
      <c r="F39" s="5"/>
      <c r="G39" s="3" t="str">
        <f t="shared" si="2"/>
        <v/>
      </c>
      <c r="H39" s="48"/>
      <c r="I39" s="48"/>
      <c r="J39" s="48"/>
      <c r="K39" s="48"/>
      <c r="L39" s="48"/>
      <c r="M39" s="48"/>
      <c r="N39" s="48"/>
      <c r="O39" s="48"/>
      <c r="P39" s="48"/>
      <c r="Q39" s="48"/>
      <c r="R39" s="48"/>
      <c r="S39" s="48"/>
      <c r="T39" s="48"/>
      <c r="U39" s="48"/>
      <c r="V39" s="48"/>
      <c r="W39" s="48"/>
      <c r="X39" s="48"/>
      <c r="Y39" s="48"/>
      <c r="Z39" s="48"/>
      <c r="AA39" s="48"/>
      <c r="AB39" s="48"/>
    </row>
    <row r="40" spans="1:28" ht="30" customHeight="1" thickBot="1" x14ac:dyDescent="0.25">
      <c r="B40" s="94" t="s">
        <v>41</v>
      </c>
      <c r="C40" s="71">
        <v>1</v>
      </c>
      <c r="D40" s="72"/>
      <c r="E40" s="72"/>
      <c r="F40" s="5"/>
      <c r="G40" s="3" t="str">
        <f t="shared" si="2"/>
        <v/>
      </c>
      <c r="H40" s="30"/>
      <c r="I40" s="30"/>
      <c r="J40" s="30"/>
      <c r="K40" s="30"/>
      <c r="L40" s="30"/>
      <c r="M40" s="30"/>
      <c r="N40" s="30"/>
      <c r="O40" s="30"/>
      <c r="P40" s="30"/>
      <c r="Q40" s="30"/>
      <c r="R40" s="30"/>
      <c r="S40" s="30"/>
      <c r="T40" s="30"/>
      <c r="U40" s="30"/>
      <c r="V40" s="30"/>
      <c r="W40" s="30"/>
      <c r="X40" s="30"/>
      <c r="Y40" s="30"/>
      <c r="Z40" s="30"/>
      <c r="AA40" s="30"/>
      <c r="AB40" s="30"/>
    </row>
    <row r="41" spans="1:28" ht="30" customHeight="1" thickBot="1" x14ac:dyDescent="0.25">
      <c r="B41" s="94" t="s">
        <v>42</v>
      </c>
      <c r="C41" s="71">
        <v>1</v>
      </c>
      <c r="D41" s="72"/>
      <c r="E41" s="72"/>
      <c r="F41" s="5"/>
      <c r="G41" s="3" t="str">
        <f t="shared" si="2"/>
        <v/>
      </c>
      <c r="H41" s="30"/>
      <c r="I41" s="30"/>
      <c r="J41" s="30"/>
      <c r="K41" s="30"/>
      <c r="L41" s="30"/>
      <c r="M41" s="30"/>
      <c r="N41" s="30"/>
      <c r="O41" s="30"/>
      <c r="P41" s="30"/>
      <c r="Q41" s="30"/>
      <c r="R41" s="30"/>
      <c r="S41" s="30"/>
      <c r="T41" s="30"/>
      <c r="U41" s="30"/>
      <c r="V41" s="30"/>
      <c r="W41" s="30"/>
      <c r="X41" s="30"/>
      <c r="Y41" s="30"/>
      <c r="Z41" s="30"/>
      <c r="AA41" s="30"/>
      <c r="AB41" s="30"/>
    </row>
    <row r="42" spans="1:28" ht="30" customHeight="1" thickBot="1" x14ac:dyDescent="0.25">
      <c r="B42" s="81" t="s">
        <v>43</v>
      </c>
      <c r="C42" s="95"/>
      <c r="D42" s="96"/>
      <c r="E42" s="97"/>
      <c r="F42" s="5"/>
      <c r="G42" s="3" t="str">
        <f t="shared" si="2"/>
        <v/>
      </c>
      <c r="H42" s="48"/>
      <c r="I42" s="48"/>
      <c r="J42" s="48"/>
      <c r="K42" s="48"/>
      <c r="L42" s="48"/>
      <c r="M42" s="48"/>
      <c r="N42" s="48"/>
      <c r="O42" s="48"/>
      <c r="P42" s="48"/>
      <c r="Q42" s="48"/>
      <c r="R42" s="48"/>
      <c r="S42" s="48"/>
      <c r="T42" s="48"/>
      <c r="U42" s="48"/>
      <c r="V42" s="48"/>
      <c r="W42" s="48"/>
      <c r="X42" s="48"/>
      <c r="Y42" s="48"/>
      <c r="Z42" s="48"/>
      <c r="AA42" s="48"/>
      <c r="AB42" s="48"/>
    </row>
    <row r="43" spans="1:28" ht="39" thickBot="1" x14ac:dyDescent="0.25">
      <c r="B43" s="78" t="s">
        <v>44</v>
      </c>
      <c r="C43" s="69">
        <v>1</v>
      </c>
      <c r="D43" s="70"/>
      <c r="E43" s="70"/>
      <c r="F43" s="5"/>
      <c r="G43" s="3" t="str">
        <f t="shared" si="2"/>
        <v/>
      </c>
      <c r="H43" s="30"/>
      <c r="I43" s="30"/>
      <c r="J43" s="30"/>
      <c r="K43" s="30"/>
      <c r="L43" s="30"/>
      <c r="M43" s="30"/>
      <c r="N43" s="30"/>
      <c r="O43" s="30"/>
      <c r="P43" s="30"/>
      <c r="Q43" s="30"/>
      <c r="R43" s="30"/>
      <c r="S43" s="30"/>
      <c r="T43" s="30"/>
      <c r="U43" s="30"/>
      <c r="V43" s="30"/>
      <c r="W43" s="30"/>
      <c r="X43" s="30"/>
      <c r="Y43" s="30"/>
      <c r="Z43" s="30"/>
      <c r="AA43" s="30"/>
      <c r="AB43" s="30"/>
    </row>
    <row r="44" spans="1:28" ht="39" thickBot="1" x14ac:dyDescent="0.25">
      <c r="B44" s="78" t="s">
        <v>46</v>
      </c>
      <c r="C44" s="69">
        <v>1</v>
      </c>
      <c r="D44" s="70"/>
      <c r="E44" s="70"/>
      <c r="F44" s="5"/>
      <c r="G44" s="3" t="str">
        <f t="shared" si="2"/>
        <v/>
      </c>
      <c r="H44" s="30"/>
      <c r="I44" s="30"/>
      <c r="J44" s="30"/>
      <c r="K44" s="30"/>
      <c r="L44" s="30"/>
      <c r="M44" s="30"/>
      <c r="N44" s="30"/>
      <c r="O44" s="30"/>
      <c r="P44" s="30"/>
      <c r="Q44" s="30"/>
      <c r="R44" s="30"/>
      <c r="S44" s="30"/>
      <c r="T44" s="30"/>
      <c r="U44" s="30"/>
      <c r="V44" s="30"/>
      <c r="W44" s="30"/>
      <c r="X44" s="30"/>
      <c r="Y44" s="30"/>
      <c r="Z44" s="30"/>
      <c r="AA44" s="30"/>
      <c r="AB44" s="30"/>
    </row>
    <row r="45" spans="1:28" ht="30" customHeight="1" thickBot="1" x14ac:dyDescent="0.25">
      <c r="B45" s="78" t="s">
        <v>45</v>
      </c>
      <c r="C45" s="69">
        <v>1</v>
      </c>
      <c r="D45" s="70"/>
      <c r="E45" s="70"/>
      <c r="F45" s="5"/>
      <c r="G45" s="3" t="str">
        <f t="shared" si="2"/>
        <v/>
      </c>
      <c r="H45" s="30"/>
      <c r="I45" s="30"/>
      <c r="J45" s="30"/>
      <c r="K45" s="30"/>
      <c r="L45" s="30"/>
      <c r="M45" s="30"/>
      <c r="N45" s="30"/>
      <c r="O45" s="30"/>
      <c r="P45" s="30"/>
      <c r="Q45" s="30"/>
      <c r="R45" s="30"/>
      <c r="S45" s="30"/>
      <c r="T45" s="30"/>
      <c r="U45" s="30"/>
      <c r="V45" s="30"/>
      <c r="W45" s="30"/>
      <c r="X45" s="34"/>
      <c r="Y45" s="30"/>
      <c r="Z45" s="30"/>
      <c r="AA45" s="30"/>
      <c r="AB45" s="30"/>
    </row>
    <row r="46" spans="1:28" ht="30" customHeight="1" thickBot="1" x14ac:dyDescent="0.25">
      <c r="B46" s="102" t="s">
        <v>47</v>
      </c>
      <c r="C46" s="103"/>
      <c r="D46" s="104"/>
      <c r="E46" s="105"/>
      <c r="F46" s="5"/>
      <c r="G46" s="3" t="str">
        <f t="shared" si="2"/>
        <v/>
      </c>
      <c r="H46" s="48"/>
      <c r="I46" s="48"/>
      <c r="J46" s="48"/>
      <c r="K46" s="48"/>
      <c r="L46" s="48"/>
      <c r="M46" s="48"/>
      <c r="N46" s="48"/>
      <c r="O46" s="48"/>
      <c r="P46" s="48"/>
      <c r="Q46" s="48"/>
      <c r="R46" s="48"/>
      <c r="S46" s="48"/>
      <c r="T46" s="48"/>
      <c r="U46" s="48"/>
      <c r="V46" s="48"/>
      <c r="W46" s="48"/>
      <c r="X46" s="48"/>
      <c r="Y46" s="48"/>
      <c r="Z46" s="48"/>
      <c r="AA46" s="48"/>
      <c r="AB46" s="48"/>
    </row>
    <row r="47" spans="1:28" ht="30" customHeight="1" thickBot="1" x14ac:dyDescent="0.25">
      <c r="B47" s="79" t="s">
        <v>48</v>
      </c>
      <c r="C47" s="67">
        <v>1</v>
      </c>
      <c r="D47" s="68"/>
      <c r="E47" s="68"/>
      <c r="F47" s="5"/>
      <c r="G47" s="3" t="str">
        <f t="shared" si="2"/>
        <v/>
      </c>
      <c r="H47" s="30"/>
      <c r="I47" s="30"/>
      <c r="J47" s="30"/>
      <c r="K47" s="30"/>
      <c r="L47" s="30"/>
      <c r="M47" s="30"/>
      <c r="N47" s="30"/>
      <c r="O47" s="30"/>
      <c r="P47" s="30"/>
      <c r="Q47" s="30"/>
      <c r="R47" s="30"/>
      <c r="S47" s="30"/>
      <c r="T47" s="30"/>
      <c r="U47" s="30"/>
      <c r="V47" s="30"/>
      <c r="W47" s="30"/>
      <c r="X47" s="30"/>
      <c r="Y47" s="30"/>
      <c r="Z47" s="30"/>
      <c r="AA47" s="30"/>
      <c r="AB47" s="30"/>
    </row>
    <row r="48" spans="1:28" ht="30" customHeight="1" thickBot="1" x14ac:dyDescent="0.25">
      <c r="B48" s="79" t="s">
        <v>50</v>
      </c>
      <c r="C48" s="67">
        <v>1</v>
      </c>
      <c r="D48" s="68"/>
      <c r="E48" s="68"/>
      <c r="F48" s="5"/>
      <c r="G48" s="3" t="str">
        <f t="shared" si="2"/>
        <v/>
      </c>
      <c r="H48" s="30"/>
      <c r="I48" s="30"/>
      <c r="J48" s="30"/>
      <c r="K48" s="30"/>
      <c r="L48" s="30"/>
      <c r="M48" s="30"/>
      <c r="N48" s="30"/>
      <c r="O48" s="30"/>
      <c r="P48" s="30"/>
      <c r="Q48" s="30"/>
      <c r="R48" s="30"/>
      <c r="S48" s="30"/>
      <c r="T48" s="30"/>
      <c r="U48" s="30"/>
      <c r="V48" s="30"/>
      <c r="W48" s="30"/>
      <c r="X48" s="30"/>
      <c r="Y48" s="30"/>
      <c r="Z48" s="30"/>
      <c r="AA48" s="30"/>
      <c r="AB48" s="30"/>
    </row>
    <row r="49" spans="2:28" ht="30" customHeight="1" thickBot="1" x14ac:dyDescent="0.25">
      <c r="B49" s="73" t="s">
        <v>51</v>
      </c>
      <c r="C49" s="74"/>
      <c r="D49" s="75"/>
      <c r="E49" s="76"/>
      <c r="F49" s="5"/>
      <c r="G49" s="3" t="str">
        <f t="shared" si="2"/>
        <v/>
      </c>
      <c r="H49" s="48"/>
      <c r="I49" s="48"/>
      <c r="J49" s="48"/>
      <c r="K49" s="48"/>
      <c r="L49" s="48"/>
      <c r="M49" s="48"/>
      <c r="N49" s="48"/>
      <c r="O49" s="48"/>
      <c r="P49" s="48"/>
      <c r="Q49" s="48"/>
      <c r="R49" s="48"/>
      <c r="S49" s="48"/>
      <c r="T49" s="48"/>
      <c r="U49" s="48"/>
      <c r="V49" s="48"/>
      <c r="W49" s="48"/>
      <c r="X49" s="48"/>
      <c r="Y49" s="48"/>
      <c r="Z49" s="48"/>
      <c r="AA49" s="48"/>
      <c r="AB49" s="48"/>
    </row>
    <row r="50" spans="2:28" ht="30" customHeight="1" thickBot="1" x14ac:dyDescent="0.25">
      <c r="B50" s="62" t="s">
        <v>53</v>
      </c>
      <c r="C50" s="63">
        <v>1</v>
      </c>
      <c r="D50" s="64"/>
      <c r="E50" s="64"/>
      <c r="F50" s="5"/>
      <c r="G50" s="3" t="str">
        <f t="shared" si="2"/>
        <v/>
      </c>
      <c r="H50" s="30"/>
      <c r="I50" s="30"/>
      <c r="J50" s="30"/>
      <c r="K50" s="30"/>
      <c r="L50" s="30"/>
      <c r="M50" s="30"/>
      <c r="N50" s="30"/>
      <c r="O50" s="30"/>
      <c r="P50" s="30"/>
      <c r="Q50" s="30"/>
      <c r="R50" s="30"/>
      <c r="S50" s="30"/>
      <c r="T50" s="30"/>
      <c r="U50" s="30"/>
      <c r="V50" s="30"/>
      <c r="W50" s="30"/>
      <c r="X50" s="30"/>
      <c r="Y50" s="30"/>
      <c r="Z50" s="30"/>
      <c r="AA50" s="30"/>
      <c r="AB50" s="30"/>
    </row>
    <row r="51" spans="2:28" ht="30" customHeight="1" thickBot="1" x14ac:dyDescent="0.25">
      <c r="B51" s="77" t="s">
        <v>54</v>
      </c>
      <c r="C51" s="63">
        <v>1</v>
      </c>
      <c r="D51" s="64"/>
      <c r="E51" s="64"/>
      <c r="F51" s="5"/>
      <c r="G51" s="3" t="str">
        <f t="shared" si="2"/>
        <v/>
      </c>
      <c r="H51" s="30"/>
      <c r="I51" s="30"/>
      <c r="J51" s="30"/>
      <c r="K51" s="30"/>
      <c r="L51" s="30"/>
      <c r="M51" s="30"/>
      <c r="N51" s="30"/>
      <c r="O51" s="30"/>
      <c r="P51" s="30"/>
      <c r="Q51" s="30"/>
      <c r="R51" s="30"/>
      <c r="S51" s="30"/>
      <c r="T51" s="30"/>
      <c r="U51" s="30"/>
      <c r="V51" s="30"/>
      <c r="W51" s="30"/>
      <c r="X51" s="30"/>
      <c r="Y51" s="30"/>
      <c r="Z51" s="30"/>
      <c r="AA51" s="30"/>
      <c r="AB51" s="30"/>
    </row>
    <row r="52" spans="2:28" ht="30" customHeight="1" thickBot="1" x14ac:dyDescent="0.25">
      <c r="B52" s="77" t="s">
        <v>52</v>
      </c>
      <c r="C52" s="63">
        <v>1</v>
      </c>
      <c r="D52" s="64"/>
      <c r="E52" s="64"/>
      <c r="F52" s="5"/>
      <c r="G52" s="3" t="str">
        <f t="shared" si="2"/>
        <v/>
      </c>
      <c r="H52" s="30"/>
      <c r="I52" s="30"/>
      <c r="J52" s="30"/>
      <c r="K52" s="30"/>
      <c r="L52" s="30"/>
      <c r="M52" s="30"/>
      <c r="N52" s="30"/>
      <c r="O52" s="30"/>
      <c r="P52" s="30"/>
      <c r="Q52" s="30"/>
      <c r="R52" s="30"/>
      <c r="S52" s="30"/>
      <c r="T52" s="30"/>
      <c r="U52" s="30"/>
      <c r="V52" s="30"/>
      <c r="W52" s="30"/>
      <c r="X52" s="30"/>
      <c r="Y52" s="30"/>
      <c r="Z52" s="30"/>
      <c r="AA52" s="30"/>
      <c r="AB52" s="30"/>
    </row>
    <row r="53" spans="2:28" ht="30" customHeight="1" thickBot="1" x14ac:dyDescent="0.25">
      <c r="B53" s="98" t="s">
        <v>49</v>
      </c>
      <c r="C53" s="99"/>
      <c r="D53" s="100"/>
      <c r="E53" s="101"/>
      <c r="F53" s="5"/>
      <c r="G53" s="3" t="str">
        <f t="shared" si="2"/>
        <v/>
      </c>
      <c r="H53" s="48"/>
      <c r="I53" s="48"/>
      <c r="J53" s="48"/>
      <c r="K53" s="48"/>
      <c r="L53" s="48"/>
      <c r="M53" s="48"/>
      <c r="N53" s="48"/>
      <c r="O53" s="48"/>
      <c r="P53" s="48"/>
      <c r="Q53" s="48"/>
      <c r="R53" s="48"/>
      <c r="S53" s="48"/>
      <c r="T53" s="48"/>
      <c r="U53" s="48"/>
      <c r="V53" s="48"/>
      <c r="W53" s="48"/>
      <c r="X53" s="48"/>
      <c r="Y53" s="48"/>
      <c r="Z53" s="48"/>
      <c r="AA53" s="48"/>
      <c r="AB53" s="48"/>
    </row>
    <row r="54" spans="2:28" ht="30" customHeight="1" thickBot="1" x14ac:dyDescent="0.25">
      <c r="B54" s="80" t="s">
        <v>55</v>
      </c>
      <c r="C54" s="65">
        <v>1</v>
      </c>
      <c r="D54" s="66"/>
      <c r="E54" s="66"/>
      <c r="F54" s="5"/>
      <c r="G54" s="3" t="str">
        <f t="shared" si="2"/>
        <v/>
      </c>
      <c r="H54" s="30"/>
      <c r="I54" s="30"/>
      <c r="J54" s="30"/>
      <c r="K54" s="30"/>
      <c r="L54" s="30"/>
      <c r="M54" s="30"/>
      <c r="N54" s="30"/>
      <c r="O54" s="30"/>
      <c r="P54" s="30"/>
      <c r="Q54" s="30"/>
      <c r="R54" s="30"/>
      <c r="S54" s="30"/>
      <c r="T54" s="30"/>
      <c r="U54" s="30"/>
      <c r="V54" s="30"/>
      <c r="W54" s="30"/>
      <c r="X54" s="30"/>
      <c r="Y54" s="30"/>
      <c r="Z54" s="30"/>
      <c r="AA54" s="30"/>
      <c r="AB54" s="30"/>
    </row>
    <row r="55" spans="2:28" ht="45.75" customHeight="1" thickBot="1" x14ac:dyDescent="0.25">
      <c r="B55" s="80" t="s">
        <v>56</v>
      </c>
      <c r="C55" s="65">
        <v>1</v>
      </c>
      <c r="D55" s="66"/>
      <c r="E55" s="66"/>
      <c r="F55" s="5"/>
      <c r="G55" s="3" t="str">
        <f t="shared" si="2"/>
        <v/>
      </c>
      <c r="H55" s="30"/>
      <c r="I55" s="30"/>
      <c r="J55" s="30"/>
      <c r="K55" s="30"/>
      <c r="L55" s="30"/>
      <c r="M55" s="30"/>
      <c r="N55" s="30"/>
      <c r="O55" s="30"/>
      <c r="P55" s="30"/>
      <c r="Q55" s="30"/>
      <c r="R55" s="30"/>
      <c r="S55" s="30"/>
      <c r="T55" s="30"/>
      <c r="U55" s="30"/>
      <c r="V55" s="30"/>
      <c r="W55" s="30"/>
      <c r="X55" s="30"/>
      <c r="Y55" s="30"/>
      <c r="Z55" s="30"/>
      <c r="AA55" s="30"/>
      <c r="AB55" s="30"/>
    </row>
    <row r="56" spans="2:28" ht="30" customHeight="1" thickBot="1" x14ac:dyDescent="0.25">
      <c r="B56" s="82" t="s">
        <v>57</v>
      </c>
      <c r="C56" s="90"/>
      <c r="D56" s="91"/>
      <c r="E56" s="92"/>
      <c r="F56" s="5"/>
      <c r="G56" s="3" t="str">
        <f t="shared" si="2"/>
        <v/>
      </c>
      <c r="H56" s="48"/>
      <c r="I56" s="48"/>
      <c r="J56" s="48"/>
      <c r="K56" s="48"/>
      <c r="L56" s="48"/>
      <c r="M56" s="48"/>
      <c r="N56" s="48"/>
      <c r="O56" s="48"/>
      <c r="P56" s="48"/>
      <c r="Q56" s="48"/>
      <c r="R56" s="48"/>
      <c r="S56" s="48"/>
      <c r="T56" s="48"/>
      <c r="U56" s="48"/>
      <c r="V56" s="48"/>
      <c r="W56" s="48"/>
      <c r="X56" s="48"/>
      <c r="Y56" s="48"/>
      <c r="Z56" s="48"/>
      <c r="AA56" s="48"/>
      <c r="AB56" s="48"/>
    </row>
    <row r="57" spans="2:28" ht="30" customHeight="1" thickBot="1" x14ac:dyDescent="0.25">
      <c r="B57" s="93" t="s">
        <v>58</v>
      </c>
      <c r="C57" s="88">
        <v>1</v>
      </c>
      <c r="D57" s="89"/>
      <c r="E57" s="89"/>
      <c r="F57" s="5"/>
      <c r="G57" s="3" t="str">
        <f t="shared" si="2"/>
        <v/>
      </c>
      <c r="H57" s="30"/>
      <c r="I57" s="30"/>
      <c r="J57" s="30"/>
      <c r="K57" s="30"/>
      <c r="L57" s="30"/>
      <c r="M57" s="30"/>
      <c r="N57" s="30"/>
      <c r="O57" s="30"/>
      <c r="P57" s="30"/>
      <c r="Q57" s="30"/>
      <c r="R57" s="30"/>
      <c r="S57" s="30"/>
      <c r="T57" s="30"/>
      <c r="U57" s="30"/>
      <c r="V57" s="30"/>
      <c r="W57" s="30"/>
      <c r="X57" s="30"/>
      <c r="Y57" s="30"/>
      <c r="Z57" s="30"/>
      <c r="AA57" s="30"/>
      <c r="AB57" s="30"/>
    </row>
    <row r="58" spans="2:28" ht="39" thickBot="1" x14ac:dyDescent="0.25">
      <c r="B58" s="93" t="s">
        <v>59</v>
      </c>
      <c r="C58" s="88">
        <v>1</v>
      </c>
      <c r="D58" s="89"/>
      <c r="E58" s="89"/>
      <c r="F58" s="5"/>
      <c r="G58" s="3" t="str">
        <f t="shared" si="2"/>
        <v/>
      </c>
      <c r="H58" s="30"/>
      <c r="I58" s="30"/>
      <c r="J58" s="30"/>
      <c r="K58" s="30"/>
      <c r="L58" s="30"/>
      <c r="M58" s="30"/>
      <c r="N58" s="30"/>
      <c r="O58" s="30"/>
      <c r="P58" s="30"/>
      <c r="Q58" s="30"/>
      <c r="R58" s="30"/>
      <c r="S58" s="30"/>
      <c r="T58" s="30"/>
      <c r="U58" s="30"/>
      <c r="V58" s="30"/>
      <c r="W58" s="30"/>
      <c r="X58" s="30"/>
      <c r="Y58" s="30"/>
      <c r="Z58" s="30"/>
      <c r="AA58" s="30"/>
      <c r="AB58" s="30"/>
    </row>
    <row r="59" spans="2:28" ht="30" customHeight="1" thickBot="1" x14ac:dyDescent="0.25">
      <c r="B59" s="83" t="s">
        <v>64</v>
      </c>
      <c r="C59" s="84"/>
      <c r="D59" s="85"/>
      <c r="E59" s="86"/>
      <c r="F59" s="5"/>
      <c r="G59" s="3" t="str">
        <f t="shared" si="2"/>
        <v/>
      </c>
      <c r="H59" s="48"/>
      <c r="I59" s="48"/>
      <c r="J59" s="48"/>
      <c r="K59" s="48"/>
      <c r="L59" s="48"/>
      <c r="M59" s="48"/>
      <c r="N59" s="48"/>
      <c r="O59" s="48"/>
      <c r="P59" s="48"/>
      <c r="Q59" s="48"/>
      <c r="R59" s="48"/>
      <c r="S59" s="48"/>
      <c r="T59" s="48"/>
      <c r="U59" s="48"/>
      <c r="V59" s="48"/>
      <c r="W59" s="48"/>
      <c r="X59" s="48"/>
      <c r="Y59" s="48"/>
      <c r="Z59" s="48"/>
      <c r="AA59" s="48"/>
      <c r="AB59" s="48"/>
    </row>
    <row r="60" spans="2:28" ht="30" customHeight="1" thickBot="1" x14ac:dyDescent="0.25">
      <c r="B60" s="94" t="s">
        <v>65</v>
      </c>
      <c r="C60" s="71">
        <v>1</v>
      </c>
      <c r="D60" s="72"/>
      <c r="E60" s="72"/>
      <c r="F60" s="5"/>
      <c r="G60" s="3" t="str">
        <f t="shared" si="2"/>
        <v/>
      </c>
      <c r="H60" s="30"/>
      <c r="I60" s="30"/>
      <c r="J60" s="30"/>
      <c r="K60" s="30"/>
      <c r="L60" s="30"/>
      <c r="M60" s="30"/>
      <c r="N60" s="30"/>
      <c r="O60" s="30"/>
      <c r="P60" s="30"/>
      <c r="Q60" s="30"/>
      <c r="R60" s="30"/>
      <c r="S60" s="30"/>
      <c r="T60" s="30"/>
      <c r="U60" s="30"/>
      <c r="V60" s="30"/>
      <c r="W60" s="30"/>
      <c r="X60" s="30"/>
      <c r="Y60" s="30"/>
      <c r="Z60" s="30"/>
      <c r="AA60" s="30"/>
      <c r="AB60" s="30"/>
    </row>
    <row r="61" spans="2:28" ht="30" customHeight="1" thickBot="1" x14ac:dyDescent="0.25">
      <c r="B61" s="94" t="s">
        <v>66</v>
      </c>
      <c r="C61" s="71">
        <v>1</v>
      </c>
      <c r="D61" s="72"/>
      <c r="E61" s="72"/>
      <c r="F61" s="5"/>
      <c r="G61" s="3" t="str">
        <f t="shared" si="2"/>
        <v/>
      </c>
      <c r="H61" s="30"/>
      <c r="I61" s="30"/>
      <c r="J61" s="30"/>
      <c r="K61" s="30"/>
      <c r="L61" s="30"/>
      <c r="M61" s="30"/>
      <c r="N61" s="30"/>
      <c r="O61" s="30"/>
      <c r="P61" s="30"/>
      <c r="Q61" s="30"/>
      <c r="R61" s="30"/>
      <c r="S61" s="30"/>
      <c r="T61" s="30"/>
      <c r="U61" s="30"/>
      <c r="V61" s="30"/>
      <c r="W61" s="30"/>
      <c r="X61" s="30"/>
      <c r="Y61" s="30"/>
      <c r="Z61" s="30"/>
      <c r="AA61" s="30"/>
      <c r="AB61" s="30"/>
    </row>
    <row r="62" spans="2:28" ht="30" customHeight="1" thickBot="1" x14ac:dyDescent="0.25">
      <c r="B62" s="81" t="s">
        <v>67</v>
      </c>
      <c r="C62" s="95"/>
      <c r="D62" s="96"/>
      <c r="E62" s="97"/>
      <c r="F62" s="5"/>
      <c r="G62" s="3" t="str">
        <f t="shared" si="2"/>
        <v/>
      </c>
      <c r="H62" s="48"/>
      <c r="I62" s="48"/>
      <c r="J62" s="48"/>
      <c r="K62" s="48"/>
      <c r="L62" s="48"/>
      <c r="M62" s="48"/>
      <c r="N62" s="48"/>
      <c r="O62" s="48"/>
      <c r="P62" s="48"/>
      <c r="Q62" s="48"/>
      <c r="R62" s="48"/>
      <c r="S62" s="48"/>
      <c r="T62" s="48"/>
      <c r="U62" s="48"/>
      <c r="V62" s="48"/>
      <c r="W62" s="48"/>
      <c r="X62" s="48"/>
      <c r="Y62" s="48"/>
      <c r="Z62" s="48"/>
      <c r="AA62" s="48"/>
      <c r="AB62" s="48"/>
    </row>
    <row r="63" spans="2:28" ht="30" customHeight="1" thickBot="1" x14ac:dyDescent="0.25">
      <c r="B63" s="78" t="s">
        <v>68</v>
      </c>
      <c r="C63" s="69">
        <v>1</v>
      </c>
      <c r="D63" s="70">
        <v>46107</v>
      </c>
      <c r="E63" s="70">
        <v>46108</v>
      </c>
      <c r="F63" s="5"/>
      <c r="G63" s="3">
        <f t="shared" si="2"/>
        <v>2</v>
      </c>
      <c r="H63" s="30"/>
      <c r="I63" s="30"/>
      <c r="J63" s="30"/>
      <c r="K63" s="30"/>
      <c r="L63" s="30"/>
      <c r="M63" s="30"/>
      <c r="N63" s="30"/>
      <c r="O63" s="30"/>
      <c r="P63" s="30"/>
      <c r="Q63" s="30"/>
      <c r="R63" s="30"/>
      <c r="S63" s="30"/>
      <c r="T63" s="30"/>
      <c r="U63" s="30"/>
      <c r="V63" s="30"/>
      <c r="W63" s="30"/>
      <c r="X63" s="30"/>
      <c r="Y63" s="30"/>
      <c r="Z63" s="30"/>
      <c r="AA63" s="30"/>
      <c r="AB63" s="30"/>
    </row>
    <row r="64" spans="2:28" ht="30" customHeight="1" thickBot="1" x14ac:dyDescent="0.25">
      <c r="B64" s="78" t="s">
        <v>69</v>
      </c>
      <c r="C64" s="69">
        <v>1</v>
      </c>
      <c r="D64" s="70">
        <v>46107</v>
      </c>
      <c r="E64" s="70">
        <v>46108</v>
      </c>
      <c r="F64" s="5"/>
      <c r="G64" s="3">
        <f t="shared" si="2"/>
        <v>2</v>
      </c>
      <c r="H64" s="30"/>
      <c r="I64" s="30"/>
      <c r="J64" s="30"/>
      <c r="K64" s="30"/>
      <c r="L64" s="30"/>
      <c r="M64" s="30"/>
      <c r="N64" s="30"/>
      <c r="O64" s="30"/>
      <c r="P64" s="30"/>
      <c r="Q64" s="30"/>
      <c r="R64" s="30"/>
      <c r="S64" s="30"/>
      <c r="T64" s="30"/>
      <c r="U64" s="30"/>
      <c r="V64" s="30"/>
      <c r="W64" s="30"/>
      <c r="X64" s="30"/>
      <c r="Y64" s="30"/>
      <c r="Z64" s="30"/>
      <c r="AA64" s="30"/>
      <c r="AB64" s="30"/>
    </row>
    <row r="65" spans="2:28" ht="30" customHeight="1" thickBot="1" x14ac:dyDescent="0.25">
      <c r="B65" s="78" t="s">
        <v>70</v>
      </c>
      <c r="C65" s="69">
        <v>1</v>
      </c>
      <c r="D65" s="70">
        <v>46108</v>
      </c>
      <c r="E65" s="70">
        <v>46110</v>
      </c>
      <c r="F65" s="5"/>
      <c r="G65" s="3">
        <f t="shared" si="2"/>
        <v>3</v>
      </c>
      <c r="H65" s="30"/>
      <c r="I65" s="30"/>
      <c r="J65" s="30"/>
      <c r="K65" s="30"/>
      <c r="L65" s="30"/>
      <c r="M65" s="30"/>
      <c r="N65" s="30"/>
      <c r="O65" s="30"/>
      <c r="P65" s="30"/>
      <c r="Q65" s="30"/>
      <c r="R65" s="30"/>
      <c r="S65" s="30"/>
      <c r="T65" s="30"/>
      <c r="U65" s="30"/>
      <c r="V65" s="30"/>
      <c r="W65" s="30"/>
      <c r="X65" s="34"/>
      <c r="Y65" s="30"/>
      <c r="Z65" s="30"/>
      <c r="AA65" s="30"/>
      <c r="AB65" s="30"/>
    </row>
    <row r="66" spans="2:28" ht="30" customHeight="1" thickBot="1" x14ac:dyDescent="0.25">
      <c r="B66" s="78" t="s">
        <v>71</v>
      </c>
      <c r="C66" s="69"/>
      <c r="D66" s="70"/>
      <c r="E66" s="70"/>
      <c r="F66" s="5"/>
      <c r="G66" s="3" t="str">
        <f t="shared" si="2"/>
        <v/>
      </c>
      <c r="H66" s="30"/>
      <c r="I66" s="30"/>
      <c r="J66" s="30"/>
      <c r="K66" s="30"/>
      <c r="L66" s="30"/>
      <c r="M66" s="30"/>
      <c r="N66" s="30"/>
      <c r="O66" s="30"/>
      <c r="P66" s="30"/>
      <c r="Q66" s="30"/>
      <c r="R66" s="30"/>
      <c r="S66" s="30"/>
      <c r="T66" s="30"/>
      <c r="U66" s="30"/>
      <c r="V66" s="30"/>
      <c r="W66" s="30"/>
      <c r="X66" s="34"/>
      <c r="Y66" s="30"/>
      <c r="Z66" s="30"/>
      <c r="AA66" s="30"/>
      <c r="AB66" s="30"/>
    </row>
    <row r="67" spans="2:28" ht="30" customHeight="1" thickBot="1" x14ac:dyDescent="0.25">
      <c r="B67" s="78" t="s">
        <v>72</v>
      </c>
      <c r="C67" s="69">
        <v>1</v>
      </c>
      <c r="D67" s="70">
        <v>46089</v>
      </c>
      <c r="E67" s="70">
        <v>46110</v>
      </c>
      <c r="F67" s="5"/>
      <c r="G67" s="3">
        <f t="shared" si="2"/>
        <v>22</v>
      </c>
      <c r="H67" s="30"/>
      <c r="I67" s="30"/>
      <c r="J67" s="30"/>
      <c r="K67" s="30"/>
      <c r="L67" s="30"/>
      <c r="M67" s="30"/>
      <c r="N67" s="30"/>
      <c r="O67" s="30"/>
      <c r="P67" s="30"/>
      <c r="Q67" s="30"/>
      <c r="R67" s="30"/>
      <c r="S67" s="30"/>
      <c r="T67" s="30"/>
      <c r="U67" s="30"/>
      <c r="V67" s="30"/>
      <c r="W67" s="30"/>
      <c r="X67" s="34"/>
      <c r="Y67" s="30"/>
      <c r="Z67" s="30"/>
      <c r="AA67" s="30"/>
      <c r="AB67" s="30"/>
    </row>
  </sheetData>
  <mergeCells count="12">
    <mergeCell ref="A5:A6"/>
    <mergeCell ref="B5:B6"/>
    <mergeCell ref="C5:C6"/>
    <mergeCell ref="D5:D6"/>
    <mergeCell ref="E5:E6"/>
    <mergeCell ref="P2:Y2"/>
    <mergeCell ref="P1:Y1"/>
    <mergeCell ref="H1:N1"/>
    <mergeCell ref="H2:N2"/>
    <mergeCell ref="H4:N4"/>
    <mergeCell ref="O4:U4"/>
    <mergeCell ref="V4:AB4"/>
  </mergeCells>
  <conditionalFormatting sqref="C7:C31">
    <cfRule type="dataBar" priority="120">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9:AA13">
    <cfRule type="expression" dxfId="91" priority="103">
      <formula>AND(task_start&lt;=H$5,ROUNDDOWN((task_end-task_start+1)*task_progress,0)+task_start-1&gt;=H$5)</formula>
    </cfRule>
    <cfRule type="expression" dxfId="90" priority="104" stopIfTrue="1">
      <formula>AND(task_end&gt;=H$5,task_start&lt;I$5)</formula>
    </cfRule>
  </conditionalFormatting>
  <conditionalFormatting sqref="H15:AA20">
    <cfRule type="expression" dxfId="89" priority="101">
      <formula>AND(task_start&lt;=H$5,ROUNDDOWN((task_end-task_start+1)*task_progress,0)+task_start-1&gt;=H$5)</formula>
    </cfRule>
    <cfRule type="expression" dxfId="88" priority="102" stopIfTrue="1">
      <formula>AND(task_end&gt;=H$5,task_start&lt;I$5)</formula>
    </cfRule>
  </conditionalFormatting>
  <conditionalFormatting sqref="H22:AA26">
    <cfRule type="expression" dxfId="87" priority="99">
      <formula>AND(task_start&lt;=H$5,ROUNDDOWN((task_end-task_start+1)*task_progress,0)+task_start-1&gt;=H$5)</formula>
    </cfRule>
    <cfRule type="expression" dxfId="86" priority="100" stopIfTrue="1">
      <formula>AND(task_end&gt;=H$5,task_start&lt;I$5)</formula>
    </cfRule>
  </conditionalFormatting>
  <conditionalFormatting sqref="H28:AA31">
    <cfRule type="expression" dxfId="85" priority="133">
      <formula>AND(task_start&lt;=H$5,ROUNDDOWN((task_end-task_start+1)*task_progress,0)+task_start-1&gt;=H$5)</formula>
    </cfRule>
    <cfRule type="expression" dxfId="84" priority="134" stopIfTrue="1">
      <formula>AND(task_end&gt;=H$5,task_start&lt;I$5)</formula>
    </cfRule>
  </conditionalFormatting>
  <conditionalFormatting sqref="H4:AA31">
    <cfRule type="expression" dxfId="83" priority="98">
      <formula>AND(TODAY()&gt;=H$5, TODAY()&lt;I$5)</formula>
    </cfRule>
  </conditionalFormatting>
  <conditionalFormatting sqref="AB9:AB13">
    <cfRule type="expression" dxfId="82" priority="137">
      <formula>AND(task_start&lt;=AB$5,ROUNDDOWN((task_end-task_start+1)*task_progress,0)+task_start-1&gt;=AB$5)</formula>
    </cfRule>
    <cfRule type="expression" dxfId="81" priority="138" stopIfTrue="1">
      <formula>AND(task_end&gt;=AB$5,task_start&lt;#REF!)</formula>
    </cfRule>
  </conditionalFormatting>
  <conditionalFormatting sqref="AB15:AB20">
    <cfRule type="expression" dxfId="80" priority="141">
      <formula>AND(task_start&lt;=AB$5,ROUNDDOWN((task_end-task_start+1)*task_progress,0)+task_start-1&gt;=AB$5)</formula>
    </cfRule>
    <cfRule type="expression" dxfId="79" priority="142" stopIfTrue="1">
      <formula>AND(task_end&gt;=AB$5,task_start&lt;#REF!)</formula>
    </cfRule>
  </conditionalFormatting>
  <conditionalFormatting sqref="AB22:AB26">
    <cfRule type="expression" dxfId="78" priority="145">
      <formula>AND(task_start&lt;=AB$5,ROUNDDOWN((task_end-task_start+1)*task_progress,0)+task_start-1&gt;=AB$5)</formula>
    </cfRule>
    <cfRule type="expression" dxfId="77" priority="146" stopIfTrue="1">
      <formula>AND(task_end&gt;=AB$5,task_start&lt;#REF!)</formula>
    </cfRule>
  </conditionalFormatting>
  <conditionalFormatting sqref="AB28:AB31">
    <cfRule type="expression" dxfId="76" priority="149">
      <formula>AND(task_start&lt;=AB$5,ROUNDDOWN((task_end-task_start+1)*task_progress,0)+task_start-1&gt;=AB$5)</formula>
    </cfRule>
    <cfRule type="expression" dxfId="75" priority="150" stopIfTrue="1">
      <formula>AND(task_end&gt;=AB$5,task_start&lt;#REF!)</formula>
    </cfRule>
  </conditionalFormatting>
  <conditionalFormatting sqref="AB4:AB31">
    <cfRule type="expression" dxfId="74" priority="152">
      <formula>AND(TODAY()&gt;=AB$5, TODAY()&lt;#REF!)</formula>
    </cfRule>
  </conditionalFormatting>
  <conditionalFormatting sqref="C32:C35">
    <cfRule type="dataBar" priority="92">
      <dataBar>
        <cfvo type="num" val="0"/>
        <cfvo type="num" val="1"/>
        <color theme="0"/>
      </dataBar>
      <extLst>
        <ext xmlns:x14="http://schemas.microsoft.com/office/spreadsheetml/2009/9/main" uri="{B025F937-C7B1-47D3-B67F-A62EFF666E3E}">
          <x14:id>{C55306CF-733A-4304-863A-C2000678203E}</x14:id>
        </ext>
      </extLst>
    </cfRule>
  </conditionalFormatting>
  <conditionalFormatting sqref="H33:AA35">
    <cfRule type="expression" dxfId="73" priority="93">
      <formula>AND(task_start&lt;=H$5,ROUNDDOWN((task_end-task_start+1)*task_progress,0)+task_start-1&gt;=H$5)</formula>
    </cfRule>
    <cfRule type="expression" dxfId="72" priority="94" stopIfTrue="1">
      <formula>AND(task_end&gt;=H$5,task_start&lt;I$5)</formula>
    </cfRule>
  </conditionalFormatting>
  <conditionalFormatting sqref="H32:AA35">
    <cfRule type="expression" dxfId="71" priority="91">
      <formula>AND(TODAY()&gt;=H$5, TODAY()&lt;I$5)</formula>
    </cfRule>
  </conditionalFormatting>
  <conditionalFormatting sqref="AB33:AB35">
    <cfRule type="expression" dxfId="70" priority="95">
      <formula>AND(task_start&lt;=AB$5,ROUNDDOWN((task_end-task_start+1)*task_progress,0)+task_start-1&gt;=AB$5)</formula>
    </cfRule>
    <cfRule type="expression" dxfId="69" priority="96" stopIfTrue="1">
      <formula>AND(task_end&gt;=AB$5,task_start&lt;#REF!)</formula>
    </cfRule>
  </conditionalFormatting>
  <conditionalFormatting sqref="AB32:AB35">
    <cfRule type="expression" dxfId="68" priority="97">
      <formula>AND(TODAY()&gt;=AB$5, TODAY()&lt;#REF!)</formula>
    </cfRule>
  </conditionalFormatting>
  <conditionalFormatting sqref="C36:C38">
    <cfRule type="dataBar" priority="85">
      <dataBar>
        <cfvo type="num" val="0"/>
        <cfvo type="num" val="1"/>
        <color theme="0"/>
      </dataBar>
      <extLst>
        <ext xmlns:x14="http://schemas.microsoft.com/office/spreadsheetml/2009/9/main" uri="{B025F937-C7B1-47D3-B67F-A62EFF666E3E}">
          <x14:id>{E11FE0CD-51CA-46D0-9D12-96A7EFA2000D}</x14:id>
        </ext>
      </extLst>
    </cfRule>
  </conditionalFormatting>
  <conditionalFormatting sqref="H37:AA38">
    <cfRule type="expression" dxfId="67" priority="86">
      <formula>AND(task_start&lt;=H$5,ROUNDDOWN((task_end-task_start+1)*task_progress,0)+task_start-1&gt;=H$5)</formula>
    </cfRule>
    <cfRule type="expression" dxfId="66" priority="87" stopIfTrue="1">
      <formula>AND(task_end&gt;=H$5,task_start&lt;I$5)</formula>
    </cfRule>
  </conditionalFormatting>
  <conditionalFormatting sqref="H36:AA38">
    <cfRule type="expression" dxfId="65" priority="84">
      <formula>AND(TODAY()&gt;=H$5, TODAY()&lt;I$5)</formula>
    </cfRule>
  </conditionalFormatting>
  <conditionalFormatting sqref="AB37:AB38">
    <cfRule type="expression" dxfId="64" priority="88">
      <formula>AND(task_start&lt;=AB$5,ROUNDDOWN((task_end-task_start+1)*task_progress,0)+task_start-1&gt;=AB$5)</formula>
    </cfRule>
    <cfRule type="expression" dxfId="63" priority="89" stopIfTrue="1">
      <formula>AND(task_end&gt;=AB$5,task_start&lt;#REF!)</formula>
    </cfRule>
  </conditionalFormatting>
  <conditionalFormatting sqref="AB36:AB38">
    <cfRule type="expression" dxfId="62" priority="90">
      <formula>AND(TODAY()&gt;=AB$5, TODAY()&lt;#REF!)</formula>
    </cfRule>
  </conditionalFormatting>
  <conditionalFormatting sqref="C39:C41">
    <cfRule type="dataBar" priority="78">
      <dataBar>
        <cfvo type="num" val="0"/>
        <cfvo type="num" val="1"/>
        <color theme="0"/>
      </dataBar>
      <extLst>
        <ext xmlns:x14="http://schemas.microsoft.com/office/spreadsheetml/2009/9/main" uri="{B025F937-C7B1-47D3-B67F-A62EFF666E3E}">
          <x14:id>{35EDB2BA-1EA3-46B2-9E6A-159B0D12B175}</x14:id>
        </ext>
      </extLst>
    </cfRule>
  </conditionalFormatting>
  <conditionalFormatting sqref="H40:AA41">
    <cfRule type="expression" dxfId="61" priority="79">
      <formula>AND(task_start&lt;=H$5,ROUNDDOWN((task_end-task_start+1)*task_progress,0)+task_start-1&gt;=H$5)</formula>
    </cfRule>
    <cfRule type="expression" dxfId="60" priority="80" stopIfTrue="1">
      <formula>AND(task_end&gt;=H$5,task_start&lt;I$5)</formula>
    </cfRule>
  </conditionalFormatting>
  <conditionalFormatting sqref="H39:AA41">
    <cfRule type="expression" dxfId="59" priority="77">
      <formula>AND(TODAY()&gt;=H$5, TODAY()&lt;I$5)</formula>
    </cfRule>
  </conditionalFormatting>
  <conditionalFormatting sqref="AB40:AB41">
    <cfRule type="expression" dxfId="58" priority="81">
      <formula>AND(task_start&lt;=AB$5,ROUNDDOWN((task_end-task_start+1)*task_progress,0)+task_start-1&gt;=AB$5)</formula>
    </cfRule>
    <cfRule type="expression" dxfId="57" priority="82" stopIfTrue="1">
      <formula>AND(task_end&gt;=AB$5,task_start&lt;#REF!)</formula>
    </cfRule>
  </conditionalFormatting>
  <conditionalFormatting sqref="AB39:AB41">
    <cfRule type="expression" dxfId="56" priority="83">
      <formula>AND(TODAY()&gt;=AB$5, TODAY()&lt;#REF!)</formula>
    </cfRule>
  </conditionalFormatting>
  <conditionalFormatting sqref="C42:C45">
    <cfRule type="dataBar" priority="71">
      <dataBar>
        <cfvo type="num" val="0"/>
        <cfvo type="num" val="1"/>
        <color theme="0"/>
      </dataBar>
      <extLst>
        <ext xmlns:x14="http://schemas.microsoft.com/office/spreadsheetml/2009/9/main" uri="{B025F937-C7B1-47D3-B67F-A62EFF666E3E}">
          <x14:id>{7318C68D-F99E-43F3-BE7A-BF60B4925029}</x14:id>
        </ext>
      </extLst>
    </cfRule>
  </conditionalFormatting>
  <conditionalFormatting sqref="H42:AA42">
    <cfRule type="expression" dxfId="55" priority="70">
      <formula>AND(TODAY()&gt;=H$5, TODAY()&lt;I$5)</formula>
    </cfRule>
  </conditionalFormatting>
  <conditionalFormatting sqref="AB42">
    <cfRule type="expression" dxfId="54" priority="76">
      <formula>AND(TODAY()&gt;=AB$5, TODAY()&lt;#REF!)</formula>
    </cfRule>
  </conditionalFormatting>
  <conditionalFormatting sqref="C46:C48">
    <cfRule type="dataBar" priority="64">
      <dataBar>
        <cfvo type="num" val="0"/>
        <cfvo type="num" val="1"/>
        <color theme="0"/>
      </dataBar>
      <extLst>
        <ext xmlns:x14="http://schemas.microsoft.com/office/spreadsheetml/2009/9/main" uri="{B025F937-C7B1-47D3-B67F-A62EFF666E3E}">
          <x14:id>{214AB835-B492-4CDC-94F8-9AB1B5BB061D}</x14:id>
        </ext>
      </extLst>
    </cfRule>
  </conditionalFormatting>
  <conditionalFormatting sqref="H46:AA46">
    <cfRule type="expression" dxfId="53" priority="63">
      <formula>AND(TODAY()&gt;=H$5, TODAY()&lt;I$5)</formula>
    </cfRule>
  </conditionalFormatting>
  <conditionalFormatting sqref="AB46">
    <cfRule type="expression" dxfId="52" priority="69">
      <formula>AND(TODAY()&gt;=AB$5, TODAY()&lt;#REF!)</formula>
    </cfRule>
  </conditionalFormatting>
  <conditionalFormatting sqref="C49:C52">
    <cfRule type="dataBar" priority="57">
      <dataBar>
        <cfvo type="num" val="0"/>
        <cfvo type="num" val="1"/>
        <color theme="0"/>
      </dataBar>
      <extLst>
        <ext xmlns:x14="http://schemas.microsoft.com/office/spreadsheetml/2009/9/main" uri="{B025F937-C7B1-47D3-B67F-A62EFF666E3E}">
          <x14:id>{B0FC0CE5-24A9-4B28-80CF-09F676A1FF5A}</x14:id>
        </ext>
      </extLst>
    </cfRule>
  </conditionalFormatting>
  <conditionalFormatting sqref="H49:AA49">
    <cfRule type="expression" dxfId="51" priority="56">
      <formula>AND(TODAY()&gt;=H$5, TODAY()&lt;I$5)</formula>
    </cfRule>
  </conditionalFormatting>
  <conditionalFormatting sqref="AB49">
    <cfRule type="expression" dxfId="50" priority="62">
      <formula>AND(TODAY()&gt;=AB$5, TODAY()&lt;#REF!)</formula>
    </cfRule>
  </conditionalFormatting>
  <conditionalFormatting sqref="H43:AA45">
    <cfRule type="expression" dxfId="49" priority="51">
      <formula>AND(task_start&lt;=H$5,ROUNDDOWN((task_end-task_start+1)*task_progress,0)+task_start-1&gt;=H$5)</formula>
    </cfRule>
    <cfRule type="expression" dxfId="48" priority="52" stopIfTrue="1">
      <formula>AND(task_end&gt;=H$5,task_start&lt;I$5)</formula>
    </cfRule>
  </conditionalFormatting>
  <conditionalFormatting sqref="H43:AA45">
    <cfRule type="expression" dxfId="47" priority="50">
      <formula>AND(TODAY()&gt;=H$5, TODAY()&lt;I$5)</formula>
    </cfRule>
  </conditionalFormatting>
  <conditionalFormatting sqref="AB43:AB45">
    <cfRule type="expression" dxfId="46" priority="53">
      <formula>AND(task_start&lt;=AB$5,ROUNDDOWN((task_end-task_start+1)*task_progress,0)+task_start-1&gt;=AB$5)</formula>
    </cfRule>
    <cfRule type="expression" dxfId="45" priority="54" stopIfTrue="1">
      <formula>AND(task_end&gt;=AB$5,task_start&lt;#REF!)</formula>
    </cfRule>
  </conditionalFormatting>
  <conditionalFormatting sqref="AB43:AB45">
    <cfRule type="expression" dxfId="44" priority="55">
      <formula>AND(TODAY()&gt;=AB$5, TODAY()&lt;#REF!)</formula>
    </cfRule>
  </conditionalFormatting>
  <conditionalFormatting sqref="H47:AA48">
    <cfRule type="expression" dxfId="43" priority="45">
      <formula>AND(task_start&lt;=H$5,ROUNDDOWN((task_end-task_start+1)*task_progress,0)+task_start-1&gt;=H$5)</formula>
    </cfRule>
    <cfRule type="expression" dxfId="42" priority="46" stopIfTrue="1">
      <formula>AND(task_end&gt;=H$5,task_start&lt;I$5)</formula>
    </cfRule>
  </conditionalFormatting>
  <conditionalFormatting sqref="H47:AA48">
    <cfRule type="expression" dxfId="41" priority="44">
      <formula>AND(TODAY()&gt;=H$5, TODAY()&lt;I$5)</formula>
    </cfRule>
  </conditionalFormatting>
  <conditionalFormatting sqref="AB47:AB48">
    <cfRule type="expression" dxfId="40" priority="47">
      <formula>AND(task_start&lt;=AB$5,ROUNDDOWN((task_end-task_start+1)*task_progress,0)+task_start-1&gt;=AB$5)</formula>
    </cfRule>
    <cfRule type="expression" dxfId="39" priority="48" stopIfTrue="1">
      <formula>AND(task_end&gt;=AB$5,task_start&lt;#REF!)</formula>
    </cfRule>
  </conditionalFormatting>
  <conditionalFormatting sqref="AB47:AB48">
    <cfRule type="expression" dxfId="38" priority="49">
      <formula>AND(TODAY()&gt;=AB$5, TODAY()&lt;#REF!)</formula>
    </cfRule>
  </conditionalFormatting>
  <conditionalFormatting sqref="H50:AA52">
    <cfRule type="expression" dxfId="37" priority="39">
      <formula>AND(task_start&lt;=H$5,ROUNDDOWN((task_end-task_start+1)*task_progress,0)+task_start-1&gt;=H$5)</formula>
    </cfRule>
    <cfRule type="expression" dxfId="36" priority="40" stopIfTrue="1">
      <formula>AND(task_end&gt;=H$5,task_start&lt;I$5)</formula>
    </cfRule>
  </conditionalFormatting>
  <conditionalFormatting sqref="H50:AA52">
    <cfRule type="expression" dxfId="35" priority="38">
      <formula>AND(TODAY()&gt;=H$5, TODAY()&lt;I$5)</formula>
    </cfRule>
  </conditionalFormatting>
  <conditionalFormatting sqref="AB50:AB52">
    <cfRule type="expression" dxfId="34" priority="41">
      <formula>AND(task_start&lt;=AB$5,ROUNDDOWN((task_end-task_start+1)*task_progress,0)+task_start-1&gt;=AB$5)</formula>
    </cfRule>
    <cfRule type="expression" dxfId="33" priority="42" stopIfTrue="1">
      <formula>AND(task_end&gt;=AB$5,task_start&lt;#REF!)</formula>
    </cfRule>
  </conditionalFormatting>
  <conditionalFormatting sqref="AB50:AB52">
    <cfRule type="expression" dxfId="32" priority="43">
      <formula>AND(TODAY()&gt;=AB$5, TODAY()&lt;#REF!)</formula>
    </cfRule>
  </conditionalFormatting>
  <conditionalFormatting sqref="C53:C55">
    <cfRule type="dataBar" priority="32">
      <dataBar>
        <cfvo type="num" val="0"/>
        <cfvo type="num" val="1"/>
        <color theme="0"/>
      </dataBar>
      <extLst>
        <ext xmlns:x14="http://schemas.microsoft.com/office/spreadsheetml/2009/9/main" uri="{B025F937-C7B1-47D3-B67F-A62EFF666E3E}">
          <x14:id>{ACB95B30-FAB3-4A68-8FD1-75FD7966C9D5}</x14:id>
        </ext>
      </extLst>
    </cfRule>
  </conditionalFormatting>
  <conditionalFormatting sqref="H54:AA55">
    <cfRule type="expression" dxfId="31" priority="33">
      <formula>AND(task_start&lt;=H$5,ROUNDDOWN((task_end-task_start+1)*task_progress,0)+task_start-1&gt;=H$5)</formula>
    </cfRule>
    <cfRule type="expression" dxfId="30" priority="34" stopIfTrue="1">
      <formula>AND(task_end&gt;=H$5,task_start&lt;I$5)</formula>
    </cfRule>
  </conditionalFormatting>
  <conditionalFormatting sqref="H53:AA55">
    <cfRule type="expression" dxfId="29" priority="31">
      <formula>AND(TODAY()&gt;=H$5, TODAY()&lt;I$5)</formula>
    </cfRule>
  </conditionalFormatting>
  <conditionalFormatting sqref="AB54:AB55">
    <cfRule type="expression" dxfId="28" priority="35">
      <formula>AND(task_start&lt;=AB$5,ROUNDDOWN((task_end-task_start+1)*task_progress,0)+task_start-1&gt;=AB$5)</formula>
    </cfRule>
    <cfRule type="expression" dxfId="27" priority="36" stopIfTrue="1">
      <formula>AND(task_end&gt;=AB$5,task_start&lt;#REF!)</formula>
    </cfRule>
  </conditionalFormatting>
  <conditionalFormatting sqref="AB53:AB55">
    <cfRule type="expression" dxfId="26" priority="37">
      <formula>AND(TODAY()&gt;=AB$5, TODAY()&lt;#REF!)</formula>
    </cfRule>
  </conditionalFormatting>
  <conditionalFormatting sqref="C56:C58">
    <cfRule type="dataBar" priority="25">
      <dataBar>
        <cfvo type="num" val="0"/>
        <cfvo type="num" val="1"/>
        <color theme="0"/>
      </dataBar>
      <extLst>
        <ext xmlns:x14="http://schemas.microsoft.com/office/spreadsheetml/2009/9/main" uri="{B025F937-C7B1-47D3-B67F-A62EFF666E3E}">
          <x14:id>{C0289DA6-95DC-4587-9B59-1D79C067BDE7}</x14:id>
        </ext>
      </extLst>
    </cfRule>
  </conditionalFormatting>
  <conditionalFormatting sqref="H57:AA58">
    <cfRule type="expression" dxfId="25" priority="26">
      <formula>AND(task_start&lt;=H$5,ROUNDDOWN((task_end-task_start+1)*task_progress,0)+task_start-1&gt;=H$5)</formula>
    </cfRule>
    <cfRule type="expression" dxfId="24" priority="27" stopIfTrue="1">
      <formula>AND(task_end&gt;=H$5,task_start&lt;I$5)</formula>
    </cfRule>
  </conditionalFormatting>
  <conditionalFormatting sqref="H56:AA58">
    <cfRule type="expression" dxfId="23" priority="24">
      <formula>AND(TODAY()&gt;=H$5, TODAY()&lt;I$5)</formula>
    </cfRule>
  </conditionalFormatting>
  <conditionalFormatting sqref="AB57:AB58">
    <cfRule type="expression" dxfId="22" priority="28">
      <formula>AND(task_start&lt;=AB$5,ROUNDDOWN((task_end-task_start+1)*task_progress,0)+task_start-1&gt;=AB$5)</formula>
    </cfRule>
    <cfRule type="expression" dxfId="21" priority="29" stopIfTrue="1">
      <formula>AND(task_end&gt;=AB$5,task_start&lt;#REF!)</formula>
    </cfRule>
  </conditionalFormatting>
  <conditionalFormatting sqref="AB56:AB58">
    <cfRule type="expression" dxfId="20" priority="30">
      <formula>AND(TODAY()&gt;=AB$5, TODAY()&lt;#REF!)</formula>
    </cfRule>
  </conditionalFormatting>
  <conditionalFormatting sqref="C59:C61">
    <cfRule type="dataBar" priority="18">
      <dataBar>
        <cfvo type="num" val="0"/>
        <cfvo type="num" val="1"/>
        <color theme="0"/>
      </dataBar>
      <extLst>
        <ext xmlns:x14="http://schemas.microsoft.com/office/spreadsheetml/2009/9/main" uri="{B025F937-C7B1-47D3-B67F-A62EFF666E3E}">
          <x14:id>{6196A2DE-1D03-4189-8F04-8A312EEC2E68}</x14:id>
        </ext>
      </extLst>
    </cfRule>
  </conditionalFormatting>
  <conditionalFormatting sqref="H60:AA61">
    <cfRule type="expression" dxfId="19" priority="19">
      <formula>AND(task_start&lt;=H$5,ROUNDDOWN((task_end-task_start+1)*task_progress,0)+task_start-1&gt;=H$5)</formula>
    </cfRule>
    <cfRule type="expression" dxfId="18" priority="20" stopIfTrue="1">
      <formula>AND(task_end&gt;=H$5,task_start&lt;I$5)</formula>
    </cfRule>
  </conditionalFormatting>
  <conditionalFormatting sqref="H59:AA61">
    <cfRule type="expression" dxfId="17" priority="17">
      <formula>AND(TODAY()&gt;=H$5, TODAY()&lt;I$5)</formula>
    </cfRule>
  </conditionalFormatting>
  <conditionalFormatting sqref="AB60:AB61">
    <cfRule type="expression" dxfId="16" priority="21">
      <formula>AND(task_start&lt;=AB$5,ROUNDDOWN((task_end-task_start+1)*task_progress,0)+task_start-1&gt;=AB$5)</formula>
    </cfRule>
    <cfRule type="expression" dxfId="15" priority="22" stopIfTrue="1">
      <formula>AND(task_end&gt;=AB$5,task_start&lt;#REF!)</formula>
    </cfRule>
  </conditionalFormatting>
  <conditionalFormatting sqref="AB59:AB61">
    <cfRule type="expression" dxfId="14" priority="23">
      <formula>AND(TODAY()&gt;=AB$5, TODAY()&lt;#REF!)</formula>
    </cfRule>
  </conditionalFormatting>
  <conditionalFormatting sqref="C62:C65">
    <cfRule type="dataBar" priority="15">
      <dataBar>
        <cfvo type="num" val="0"/>
        <cfvo type="num" val="1"/>
        <color theme="0"/>
      </dataBar>
      <extLst>
        <ext xmlns:x14="http://schemas.microsoft.com/office/spreadsheetml/2009/9/main" uri="{B025F937-C7B1-47D3-B67F-A62EFF666E3E}">
          <x14:id>{83853DDC-FA81-429A-95BE-EE480A74D2F3}</x14:id>
        </ext>
      </extLst>
    </cfRule>
  </conditionalFormatting>
  <conditionalFormatting sqref="H62:AA62">
    <cfRule type="expression" dxfId="13" priority="14">
      <formula>AND(TODAY()&gt;=H$5, TODAY()&lt;I$5)</formula>
    </cfRule>
  </conditionalFormatting>
  <conditionalFormatting sqref="AB62">
    <cfRule type="expression" dxfId="12" priority="16">
      <formula>AND(TODAY()&gt;=AB$5, TODAY()&lt;#REF!)</formula>
    </cfRule>
  </conditionalFormatting>
  <conditionalFormatting sqref="H63:AA65">
    <cfRule type="expression" dxfId="11" priority="9">
      <formula>AND(task_start&lt;=H$5,ROUNDDOWN((task_end-task_start+1)*task_progress,0)+task_start-1&gt;=H$5)</formula>
    </cfRule>
    <cfRule type="expression" dxfId="10" priority="10" stopIfTrue="1">
      <formula>AND(task_end&gt;=H$5,task_start&lt;I$5)</formula>
    </cfRule>
  </conditionalFormatting>
  <conditionalFormatting sqref="H63:AA65">
    <cfRule type="expression" dxfId="9" priority="8">
      <formula>AND(TODAY()&gt;=H$5, TODAY()&lt;I$5)</formula>
    </cfRule>
  </conditionalFormatting>
  <conditionalFormatting sqref="AB63:AB65">
    <cfRule type="expression" dxfId="8" priority="11">
      <formula>AND(task_start&lt;=AB$5,ROUNDDOWN((task_end-task_start+1)*task_progress,0)+task_start-1&gt;=AB$5)</formula>
    </cfRule>
    <cfRule type="expression" dxfId="7" priority="12" stopIfTrue="1">
      <formula>AND(task_end&gt;=AB$5,task_start&lt;#REF!)</formula>
    </cfRule>
  </conditionalFormatting>
  <conditionalFormatting sqref="AB63:AB65">
    <cfRule type="expression" dxfId="6" priority="13">
      <formula>AND(TODAY()&gt;=AB$5, TODAY()&lt;#REF!)</formula>
    </cfRule>
  </conditionalFormatting>
  <conditionalFormatting sqref="C66:C67">
    <cfRule type="dataBar" priority="7">
      <dataBar>
        <cfvo type="num" val="0"/>
        <cfvo type="num" val="1"/>
        <color theme="0"/>
      </dataBar>
      <extLst>
        <ext xmlns:x14="http://schemas.microsoft.com/office/spreadsheetml/2009/9/main" uri="{B025F937-C7B1-47D3-B67F-A62EFF666E3E}">
          <x14:id>{105E01DA-7987-48D9-873C-FFD6EC93C172}</x14:id>
        </ext>
      </extLst>
    </cfRule>
  </conditionalFormatting>
  <conditionalFormatting sqref="H66:AA67">
    <cfRule type="expression" dxfId="5" priority="2">
      <formula>AND(task_start&lt;=H$5,ROUNDDOWN((task_end-task_start+1)*task_progress,0)+task_start-1&gt;=H$5)</formula>
    </cfRule>
    <cfRule type="expression" dxfId="4" priority="3" stopIfTrue="1">
      <formula>AND(task_end&gt;=H$5,task_start&lt;I$5)</formula>
    </cfRule>
  </conditionalFormatting>
  <conditionalFormatting sqref="H66:AA67">
    <cfRule type="expression" dxfId="3" priority="1">
      <formula>AND(TODAY()&gt;=H$5, TODAY()&lt;I$5)</formula>
    </cfRule>
  </conditionalFormatting>
  <conditionalFormatting sqref="AB66:AB67">
    <cfRule type="expression" dxfId="2" priority="4">
      <formula>AND(task_start&lt;=AB$5,ROUNDDOWN((task_end-task_start+1)*task_progress,0)+task_start-1&gt;=AB$5)</formula>
    </cfRule>
    <cfRule type="expression" dxfId="1" priority="5" stopIfTrue="1">
      <formula>AND(task_end&gt;=AB$5,task_start&lt;#REF!)</formula>
    </cfRule>
  </conditionalFormatting>
  <conditionalFormatting sqref="AB66:AB67">
    <cfRule type="expression" dxfId="0" priority="6">
      <formula>AND(TODAY()&gt;=AB$5, TODAY()&lt;#REF!)</formula>
    </cfRule>
  </conditionalFormatting>
  <dataValidations count="13">
    <dataValidation type="whole" operator="greaterThanOrEqual" allowBlank="1" showInputMessage="1" promptTitle="Display Week" prompt="Changing this number will scroll the Gantt Chart view." sqref="P2">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dataValidation allowBlank="1" showInputMessage="1" showErrorMessage="1" prompt="Enter Company name in cel B2." sqref="A2"/>
    <dataValidation allowBlank="1" showInputMessage="1" showErrorMessage="1" prompt="Enter the name of the Project Lead in cell C3. Enter the Project Start date in cell Q1. Project Start: label is in cell I1." sqref="A3"/>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dataValidation allowBlank="1" showInputMessage="1" showErrorMessage="1" prompt="Cell B8 contains the Phase 1 sample title. Enter a new title in cell B8._x000a_To delete the phase and work only from tasks, simply delete this row." sqref="A8"/>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dataValidation allowBlank="1" showInputMessage="1" showErrorMessage="1" prompt="Phase 3's sample block starts in cell B20." sqref="A21"/>
    <dataValidation allowBlank="1" showInputMessage="1" showErrorMessage="1" prompt="Phase 4's sample block starts in cell B26." sqref="A27"/>
    <dataValidation allowBlank="1" showInputMessage="1" showErrorMessage="1" prompt="This row marks the end of the Project Schedule. DO NOT enter anything in this row. _x000a_Insert new rows ABOVE this one to continue building out your Project Schedule." sqref="A33"/>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C7:C31</xm:sqref>
        </x14:conditionalFormatting>
        <x14:conditionalFormatting xmlns:xm="http://schemas.microsoft.com/office/excel/2006/main">
          <x14:cfRule type="dataBar" id="{C55306CF-733A-4304-863A-C2000678203E}">
            <x14:dataBar minLength="0" maxLength="100" gradient="0">
              <x14:cfvo type="num">
                <xm:f>0</xm:f>
              </x14:cfvo>
              <x14:cfvo type="num">
                <xm:f>1</xm:f>
              </x14:cfvo>
              <x14:negativeFillColor rgb="FFFF0000"/>
              <x14:axisColor rgb="FF000000"/>
            </x14:dataBar>
          </x14:cfRule>
          <xm:sqref>C32:C35</xm:sqref>
        </x14:conditionalFormatting>
        <x14:conditionalFormatting xmlns:xm="http://schemas.microsoft.com/office/excel/2006/main">
          <x14:cfRule type="dataBar" id="{E11FE0CD-51CA-46D0-9D12-96A7EFA2000D}">
            <x14:dataBar minLength="0" maxLength="100" gradient="0">
              <x14:cfvo type="num">
                <xm:f>0</xm:f>
              </x14:cfvo>
              <x14:cfvo type="num">
                <xm:f>1</xm:f>
              </x14:cfvo>
              <x14:negativeFillColor rgb="FFFF0000"/>
              <x14:axisColor rgb="FF000000"/>
            </x14:dataBar>
          </x14:cfRule>
          <xm:sqref>C36:C38</xm:sqref>
        </x14:conditionalFormatting>
        <x14:conditionalFormatting xmlns:xm="http://schemas.microsoft.com/office/excel/2006/main">
          <x14:cfRule type="dataBar" id="{35EDB2BA-1EA3-46B2-9E6A-159B0D12B175}">
            <x14:dataBar minLength="0" maxLength="100" gradient="0">
              <x14:cfvo type="num">
                <xm:f>0</xm:f>
              </x14:cfvo>
              <x14:cfvo type="num">
                <xm:f>1</xm:f>
              </x14:cfvo>
              <x14:negativeFillColor rgb="FFFF0000"/>
              <x14:axisColor rgb="FF000000"/>
            </x14:dataBar>
          </x14:cfRule>
          <xm:sqref>C39:C41</xm:sqref>
        </x14:conditionalFormatting>
        <x14:conditionalFormatting xmlns:xm="http://schemas.microsoft.com/office/excel/2006/main">
          <x14:cfRule type="dataBar" id="{7318C68D-F99E-43F3-BE7A-BF60B4925029}">
            <x14:dataBar minLength="0" maxLength="100" gradient="0">
              <x14:cfvo type="num">
                <xm:f>0</xm:f>
              </x14:cfvo>
              <x14:cfvo type="num">
                <xm:f>1</xm:f>
              </x14:cfvo>
              <x14:negativeFillColor rgb="FFFF0000"/>
              <x14:axisColor rgb="FF000000"/>
            </x14:dataBar>
          </x14:cfRule>
          <xm:sqref>C42:C45</xm:sqref>
        </x14:conditionalFormatting>
        <x14:conditionalFormatting xmlns:xm="http://schemas.microsoft.com/office/excel/2006/main">
          <x14:cfRule type="dataBar" id="{214AB835-B492-4CDC-94F8-9AB1B5BB061D}">
            <x14:dataBar minLength="0" maxLength="100" gradient="0">
              <x14:cfvo type="num">
                <xm:f>0</xm:f>
              </x14:cfvo>
              <x14:cfvo type="num">
                <xm:f>1</xm:f>
              </x14:cfvo>
              <x14:negativeFillColor rgb="FFFF0000"/>
              <x14:axisColor rgb="FF000000"/>
            </x14:dataBar>
          </x14:cfRule>
          <xm:sqref>C46:C48</xm:sqref>
        </x14:conditionalFormatting>
        <x14:conditionalFormatting xmlns:xm="http://schemas.microsoft.com/office/excel/2006/main">
          <x14:cfRule type="dataBar" id="{B0FC0CE5-24A9-4B28-80CF-09F676A1FF5A}">
            <x14:dataBar minLength="0" maxLength="100" gradient="0">
              <x14:cfvo type="num">
                <xm:f>0</xm:f>
              </x14:cfvo>
              <x14:cfvo type="num">
                <xm:f>1</xm:f>
              </x14:cfvo>
              <x14:negativeFillColor rgb="FFFF0000"/>
              <x14:axisColor rgb="FF000000"/>
            </x14:dataBar>
          </x14:cfRule>
          <xm:sqref>C49:C52</xm:sqref>
        </x14:conditionalFormatting>
        <x14:conditionalFormatting xmlns:xm="http://schemas.microsoft.com/office/excel/2006/main">
          <x14:cfRule type="dataBar" id="{ACB95B30-FAB3-4A68-8FD1-75FD7966C9D5}">
            <x14:dataBar minLength="0" maxLength="100" gradient="0">
              <x14:cfvo type="num">
                <xm:f>0</xm:f>
              </x14:cfvo>
              <x14:cfvo type="num">
                <xm:f>1</xm:f>
              </x14:cfvo>
              <x14:negativeFillColor rgb="FFFF0000"/>
              <x14:axisColor rgb="FF000000"/>
            </x14:dataBar>
          </x14:cfRule>
          <xm:sqref>C53:C55</xm:sqref>
        </x14:conditionalFormatting>
        <x14:conditionalFormatting xmlns:xm="http://schemas.microsoft.com/office/excel/2006/main">
          <x14:cfRule type="dataBar" id="{C0289DA6-95DC-4587-9B59-1D79C067BDE7}">
            <x14:dataBar minLength="0" maxLength="100" gradient="0">
              <x14:cfvo type="num">
                <xm:f>0</xm:f>
              </x14:cfvo>
              <x14:cfvo type="num">
                <xm:f>1</xm:f>
              </x14:cfvo>
              <x14:negativeFillColor rgb="FFFF0000"/>
              <x14:axisColor rgb="FF000000"/>
            </x14:dataBar>
          </x14:cfRule>
          <xm:sqref>C56:C58</xm:sqref>
        </x14:conditionalFormatting>
        <x14:conditionalFormatting xmlns:xm="http://schemas.microsoft.com/office/excel/2006/main">
          <x14:cfRule type="dataBar" id="{6196A2DE-1D03-4189-8F04-8A312EEC2E68}">
            <x14:dataBar minLength="0" maxLength="100" gradient="0">
              <x14:cfvo type="num">
                <xm:f>0</xm:f>
              </x14:cfvo>
              <x14:cfvo type="num">
                <xm:f>1</xm:f>
              </x14:cfvo>
              <x14:negativeFillColor rgb="FFFF0000"/>
              <x14:axisColor rgb="FF000000"/>
            </x14:dataBar>
          </x14:cfRule>
          <xm:sqref>C59:C61</xm:sqref>
        </x14:conditionalFormatting>
        <x14:conditionalFormatting xmlns:xm="http://schemas.microsoft.com/office/excel/2006/main">
          <x14:cfRule type="dataBar" id="{83853DDC-FA81-429A-95BE-EE480A74D2F3}">
            <x14:dataBar minLength="0" maxLength="100" gradient="0">
              <x14:cfvo type="num">
                <xm:f>0</xm:f>
              </x14:cfvo>
              <x14:cfvo type="num">
                <xm:f>1</xm:f>
              </x14:cfvo>
              <x14:negativeFillColor rgb="FFFF0000"/>
              <x14:axisColor rgb="FF000000"/>
            </x14:dataBar>
          </x14:cfRule>
          <xm:sqref>C62:C65</xm:sqref>
        </x14:conditionalFormatting>
        <x14:conditionalFormatting xmlns:xm="http://schemas.microsoft.com/office/excel/2006/main">
          <x14:cfRule type="dataBar" id="{105E01DA-7987-48D9-873C-FFD6EC93C172}">
            <x14:dataBar minLength="0" maxLength="100" gradient="0">
              <x14:cfvo type="num">
                <xm:f>0</xm:f>
              </x14:cfvo>
              <x14:cfvo type="num">
                <xm:f>1</xm:f>
              </x14:cfvo>
              <x14:negativeFillColor rgb="FFFF0000"/>
              <x14:axisColor rgb="FF000000"/>
            </x14:dataBar>
          </x14:cfRule>
          <xm:sqref>C66:C67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Vilakshan Kumar</cp:lastModifiedBy>
  <cp:revision/>
  <dcterms:created xsi:type="dcterms:W3CDTF">2022-03-11T22:41:12Z</dcterms:created>
  <dcterms:modified xsi:type="dcterms:W3CDTF">2026-03-29T13:23:13Z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